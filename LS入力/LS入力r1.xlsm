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"/>
    </mc:Choice>
  </mc:AlternateContent>
  <xr:revisionPtr revIDLastSave="0" documentId="8_{B28C2D19-91E2-4640-8C2D-581DB659A74E}" xr6:coauthVersionLast="47" xr6:coauthVersionMax="47" xr10:uidLastSave="{00000000-0000-0000-0000-000000000000}"/>
  <bookViews>
    <workbookView xWindow="-120" yWindow="-120" windowWidth="38640" windowHeight="21120" activeTab="2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definedNames>
    <definedName name="_xleta.T" hidden="1" xlm="1">#NAME?</definedName>
    <definedName name="ClassList">マスタ!$A$6:$A$17</definedName>
    <definedName name="ClassList_区分">マスタ!$A$20:$A$33</definedName>
    <definedName name="KeyMatrix">マスタ!$C$6:$L$17</definedName>
    <definedName name="KeyMatrix_区分">マスタ!$C$20:$L$33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" i="4" l="1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12" i="4"/>
  <c r="P43" i="4"/>
  <c r="P13" i="4"/>
  <c r="E5" i="4"/>
  <c r="E6" i="4"/>
  <c r="E7" i="4"/>
  <c r="D3" i="5"/>
  <c r="E11" i="5"/>
  <c r="E9" i="5"/>
  <c r="E23" i="5"/>
  <c r="E10" i="5"/>
  <c r="E12" i="5"/>
  <c r="E13" i="5"/>
  <c r="E14" i="5"/>
  <c r="E15" i="5"/>
  <c r="E16" i="5"/>
  <c r="E17" i="5"/>
  <c r="E8" i="5"/>
  <c r="C3" i="1"/>
  <c r="E18" i="5" l="1"/>
  <c r="H18" i="5" s="1"/>
  <c r="L43" i="4"/>
  <c r="M43" i="4"/>
  <c r="N43" i="4"/>
  <c r="C37" i="4" l="1"/>
  <c r="C38" i="4"/>
  <c r="C39" i="4"/>
  <c r="C40" i="4"/>
  <c r="C35" i="4"/>
  <c r="K43" i="4"/>
  <c r="G43" i="4"/>
  <c r="H43" i="4"/>
  <c r="D4" i="4" s="1"/>
  <c r="E4" i="4" s="1"/>
  <c r="I43" i="4"/>
  <c r="J43" i="4"/>
  <c r="F43" i="4"/>
  <c r="E43" i="4" l="1"/>
  <c r="D3" i="4" s="1"/>
  <c r="E3" i="4" s="1"/>
  <c r="G3" i="4" s="1"/>
  <c r="C42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6" i="4"/>
  <c r="C41" i="4"/>
  <c r="C13" i="4"/>
  <c r="C12" i="4"/>
  <c r="E3" i="5"/>
  <c r="B13" i="4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D3" i="1"/>
  <c r="H4" i="4" l="1"/>
  <c r="H3" i="4"/>
  <c r="E8" i="4"/>
  <c r="D8" i="4"/>
  <c r="B34" i="4"/>
  <c r="B35" i="4" s="1"/>
  <c r="B36" i="4" s="1"/>
  <c r="B37" i="4" s="1"/>
  <c r="B38" i="4" s="1"/>
  <c r="B39" i="4" s="1"/>
  <c r="B40" i="4" s="1"/>
  <c r="B41" i="4" s="1"/>
  <c r="B42" i="4" s="1"/>
  <c r="Q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<sst xmlns="http://schemas.openxmlformats.org/spreadsheetml/2006/main" count="172" uniqueCount="95">
  <si>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</si>
  <si>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</si>
  <si>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</si>
  <si>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</si>
  <si>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</si>
  <si>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</si>
  <si>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</si>
  <si>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</si>
  <si>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</si>
  <si>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</si>
  <si>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</si>
  <si>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</si>
  <si>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</si>
  <si>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</si>
  <si>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</si>
  <si>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</si>
  <si>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</si>
  <si>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</si>
  <si>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</si>
  <si>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</si>
  <si>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</si>
  <si>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</si>
  <si>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</si>
  <si>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</si>
  <si>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</si>
  <si>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</si>
  <si>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</si>
  <si>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</si>
  <si>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</si>
  <si>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</si>
  <si>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</si>
  <si>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</si>
  <si>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</si>
  <si>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</si>
  <si>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</si>
  <si>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</si>
  <si>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</si>
  <si>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</si>
  <si>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</si>
  <si>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</si>
  <si>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</si>
  <si>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</si>
  <si>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</si>
  <si>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</si>
  <si>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</si>
  <si>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</si>
  <si>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</si>
  <si>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</si>
  <si>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</si>
  <si>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</si>
  <si>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</si>
  <si>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</si>
  <si>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</si>
  <si>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</si>
  <si>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</si>
  <si>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</si>
  <si>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</si>
  <si>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</si>
  <si>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</si>
  <si>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</si>
  <si>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</si>
  <si>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</si>
  <si>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</si>
  <si>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</si>
  <si>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</si>
  <si>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</si>
  <si>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</si>
  <si>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</si>
  <si>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</si>
  <si>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</si>
  <si>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</si>
  <si>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</si>
  <si>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</si>
  <si>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</si>
  <si>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</si>
  <si>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</si>
  <si>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</si>
  <si>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</si>
  <si>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</si>
  <si>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</si>
  <si>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</si>
  <si>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</si>
  <si>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</si>
  <si>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</si>
  <si>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</si>
  <si>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</si>
  <si>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</si>
  <si>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</si>
  <si>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</si>
  <si>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</si>
  <si>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エラーログ</t>
    <phoneticPr fontId="1"/>
  </si>
  <si>
    <t>不足時間(H:M))</t>
    <rPh sb="0" eb="4">
      <t>フソクジカン</t>
    </rPh>
    <phoneticPr fontId="1"/>
  </si>
  <si>
    <t>■月次データ</t>
    <rPh sb="1" eb="2">
      <t>ツキ</t>
    </rPh>
    <rPh sb="2" eb="3">
      <t>ジ</t>
    </rPh>
    <phoneticPr fontId="1"/>
  </si>
  <si>
    <t>作番[自動]</t>
    <rPh sb="0" eb="2">
      <t>サクバン</t>
    </rPh>
    <rPh sb="3" eb="5">
      <t>ジドウ</t>
    </rPh>
    <phoneticPr fontId="1"/>
  </si>
  <si>
    <t>対象月</t>
    <rPh sb="0" eb="2">
      <t>タイショウ</t>
    </rPh>
    <rPh sb="2" eb="3">
      <t>ツキ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</si>
</sst>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:mm"/>
    <numFmt numFmtId="182" formatCode="hh:mm"/>
    <numFmt numFmtId="183" formatCode="[m]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177" fontId="2" fillId="0" borderId="22" xfId="0" applyNumberFormat="1" applyFont="1" applyBorder="1">
      <alignment vertical="center"/>
    </xf>
    <xf numFmtId="177" fontId="2" fillId="0" borderId="23" xfId="0" applyNumberFormat="1" applyFont="1" applyBorder="1">
      <alignment vertical="center"/>
    </xf>
    <xf numFmtId="177" fontId="2" fillId="0" borderId="10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5" borderId="12" xfId="0" applyFill="1" applyBorder="1" applyProtection="1">
      <alignment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77" fontId="0" fillId="0" borderId="15" xfId="0" applyNumberFormat="1" applyBorder="1" applyProtection="1">
      <alignment vertical="center"/>
      <protection locked="0"/>
    </xf>
    <xf numFmtId="177" fontId="0" fillId="0" borderId="4" xfId="0" applyNumberFormat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7" xfId="0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181" fontId="0" fillId="6" borderId="1" xfId="0" applyNumberFormat="1" applyFill="1" applyBorder="1" applyProtection="1">
      <alignment vertical="center"/>
      <protection locked="0"/>
    </xf>
    <xf numFmtId="182" fontId="0" fillId="0" borderId="14" xfId="0" applyNumberFormat="1" applyBorder="1" applyProtection="1">
      <alignment vertical="center"/>
      <protection locked="0"/>
    </xf>
    <xf numFmtId="182" fontId="0" fillId="0" borderId="28" xfId="0" applyNumberFormat="1" applyBorder="1" applyAlignment="1" applyProtection="1">
      <alignment horizontal="center" vertical="center"/>
      <protection locked="0"/>
    </xf>
    <xf numFmtId="182" fontId="0" fillId="0" borderId="19" xfId="0" applyNumberFormat="1" applyBorder="1" applyProtection="1">
      <alignment vertical="center"/>
      <protection locked="0"/>
    </xf>
    <xf numFmtId="182" fontId="0" fillId="0" borderId="8" xfId="0" applyNumberFormat="1" applyBorder="1" applyProtection="1">
      <alignment vertical="center"/>
      <protection locked="0"/>
    </xf>
    <xf numFmtId="182" fontId="0" fillId="0" borderId="16" xfId="0" applyNumberFormat="1" applyBorder="1" applyProtection="1">
      <alignment vertical="center"/>
      <protection locked="0"/>
    </xf>
    <xf numFmtId="182" fontId="0" fillId="0" borderId="29" xfId="0" applyNumberFormat="1" applyBorder="1" applyAlignment="1" applyProtection="1">
      <alignment horizontal="center" vertical="center"/>
      <protection locked="0"/>
    </xf>
    <xf numFmtId="182" fontId="0" fillId="0" borderId="9" xfId="0" applyNumberFormat="1" applyBorder="1" applyProtection="1">
      <alignment vertical="center"/>
      <protection locked="0"/>
    </xf>
    <xf numFmtId="182" fontId="0" fillId="0" borderId="1" xfId="0" applyNumberFormat="1" applyBorder="1" applyProtection="1">
      <alignment vertical="center"/>
      <protection locked="0"/>
    </xf>
    <xf numFmtId="182" fontId="0" fillId="6" borderId="9" xfId="0" applyNumberFormat="1" applyFill="1" applyBorder="1" applyProtection="1">
      <alignment vertical="center"/>
      <protection locked="0"/>
    </xf>
    <xf numFmtId="182" fontId="0" fillId="6" borderId="1" xfId="0" applyNumberFormat="1" applyFill="1" applyBorder="1" applyProtection="1">
      <alignment vertical="center"/>
      <protection locked="0"/>
    </xf>
    <xf numFmtId="182" fontId="0" fillId="0" borderId="1" xfId="0" applyNumberFormat="1" applyBorder="1" applyAlignment="1" applyProtection="1">
      <alignment vertical="center" wrapText="1"/>
      <protection locked="0"/>
    </xf>
    <xf numFmtId="182" fontId="0" fillId="0" borderId="0" xfId="0" applyNumberFormat="1" applyProtection="1">
      <alignment vertical="center"/>
      <protection locked="0"/>
    </xf>
    <xf numFmtId="182" fontId="0" fillId="0" borderId="27" xfId="0" applyNumberFormat="1" applyBorder="1" applyAlignment="1" applyProtection="1">
      <alignment horizontal="center" vertical="center"/>
      <protection locked="0"/>
    </xf>
    <xf numFmtId="182" fontId="0" fillId="0" borderId="20" xfId="0" applyNumberFormat="1" applyBorder="1" applyProtection="1">
      <alignment vertical="center"/>
      <protection locked="0"/>
    </xf>
    <xf numFmtId="182" fontId="0" fillId="0" borderId="17" xfId="0" applyNumberFormat="1" applyBorder="1" applyProtection="1">
      <alignment vertical="center"/>
      <protection locked="0"/>
    </xf>
    <xf numFmtId="182" fontId="0" fillId="0" borderId="5" xfId="0" applyNumberFormat="1" applyBorder="1" applyProtection="1">
      <alignment vertical="center"/>
      <protection locked="0"/>
    </xf>
    <xf numFmtId="180" fontId="2" fillId="0" borderId="24" xfId="0" applyNumberFormat="1" applyFont="1" applyBorder="1">
      <alignment vertical="center"/>
    </xf>
    <xf numFmtId="180" fontId="2" fillId="0" borderId="25" xfId="0" applyNumberFormat="1" applyFont="1" applyBorder="1">
      <alignment vertical="center"/>
    </xf>
    <xf numFmtId="178" fontId="0" fillId="0" borderId="0" xfId="0" applyNumberFormat="1" applyAlignment="1">
      <alignment vertical="center" wrapText="1"/>
    </xf>
    <xf numFmtId="180" fontId="0" fillId="0" borderId="1" xfId="0" applyNumberFormat="1" applyBorder="1">
      <alignment vertical="center"/>
    </xf>
    <xf numFmtId="180" fontId="8" fillId="0" borderId="0" xfId="0" applyNumberFormat="1" applyFont="1" applyAlignment="1">
      <alignment vertical="top"/>
    </xf>
    <xf numFmtId="183" fontId="8" fillId="0" borderId="0" xfId="0" applyNumberFormat="1" applyFont="1" applyAlignment="1">
      <alignment vertical="top"/>
    </xf>
    <xf numFmtId="179" fontId="0" fillId="0" borderId="0" xfId="0" applyNumberFormat="1" applyAlignment="1">
      <alignment horizontal="right" vertical="center"/>
    </xf>
    <xf numFmtId="0" fontId="0" fillId="5" borderId="31" xfId="0" applyFill="1" applyBorder="1">
      <alignment vertical="center"/>
    </xf>
    <xf numFmtId="179" fontId="0" fillId="4" borderId="32" xfId="0" applyNumberFormat="1" applyFill="1" applyBorder="1" applyAlignment="1" applyProtection="1">
      <alignment vertical="center" wrapText="1"/>
      <protection locked="0"/>
    </xf>
    <xf numFmtId="179" fontId="0" fillId="4" borderId="33" xfId="0" applyNumberFormat="1" applyFill="1" applyBorder="1" applyAlignment="1" applyProtection="1">
      <alignment vertical="center" wrapText="1"/>
      <protection locked="0"/>
    </xf>
    <xf numFmtId="178" fontId="0" fillId="0" borderId="16" xfId="0" applyNumberFormat="1" applyBorder="1" applyAlignment="1">
      <alignment vertical="center" wrapText="1"/>
    </xf>
    <xf numFmtId="178" fontId="0" fillId="0" borderId="5" xfId="0" applyNumberFormat="1" applyBorder="1" applyAlignment="1">
      <alignment vertical="center" wrapText="1"/>
    </xf>
    <xf numFmtId="1" fontId="0" fillId="0" borderId="1" xfId="0" applyNumberFormat="1" applyBorder="1" applyAlignment="1">
      <alignment horizontal="right" vertical="center"/>
    </xf>
    <xf numFmtId="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20" fontId="0" fillId="0" borderId="0" xfId="0" applyNumberFormat="1">
      <alignment vertical="center"/>
    </xf>
    <xf numFmtId="0" fontId="10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56" fontId="0" fillId="0" borderId="0" xfId="0" applyNumberFormat="1" applyAlignment="1">
      <alignment vertical="top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0" fontId="0" fillId="0" borderId="35" xfId="0" applyBorder="1" applyAlignment="1" applyProtection="1">
      <alignment horizontal="center" vertical="center" wrapText="1"/>
      <protection locked="0"/>
    </xf>
    <xf numFmtId="0" fontId="0" fillId="0" borderId="36" xfId="0" applyBorder="1" applyAlignment="1" applyProtection="1">
      <alignment horizontal="center" vertical="center" wrapText="1"/>
      <protection locked="0"/>
    </xf>
    <xf numFmtId="0" fontId="0" fillId="0" borderId="37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0" fillId="0" borderId="39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C29" sqref="C29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58</v>
      </c>
    </row>
    <row r="2" spans="1:9" ht="49.5" customHeight="1" thickBot="1">
      <c r="B2" s="111" t="s">
        <v>1</v>
      </c>
      <c r="C2" s="111"/>
      <c r="D2" s="111"/>
      <c r="E2" s="111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45898</v>
      </c>
      <c r="D3" s="2" t="str">
        <f ca="1">TEXT(C3,"aaaa")</f>
        <v>金曜日</v>
      </c>
      <c r="E3" s="24"/>
    </row>
    <row r="4" spans="1:9" ht="19.5" thickBot="1">
      <c r="B4" s="5" t="s">
        <v>0</v>
      </c>
      <c r="C4" s="4"/>
      <c r="D4" s="6" t="s">
        <v>2</v>
      </c>
    </row>
    <row r="6" spans="1:9">
      <c r="B6" s="3" t="s">
        <v>60</v>
      </c>
      <c r="C6" s="3"/>
      <c r="D6" s="3"/>
    </row>
    <row r="7" spans="1:9">
      <c r="A7" s="15" t="s">
        <v>4</v>
      </c>
      <c r="B7" s="15" t="s">
        <v>71</v>
      </c>
      <c r="C7" s="15" t="s">
        <v>28</v>
      </c>
      <c r="D7" s="15" t="s">
        <v>29</v>
      </c>
      <c r="E7" s="15" t="s">
        <v>30</v>
      </c>
      <c r="F7" s="17" t="s">
        <v>81</v>
      </c>
      <c r="G7" s="20"/>
      <c r="H7" s="17" t="s">
        <v>82</v>
      </c>
      <c r="I7" s="18"/>
    </row>
    <row r="8" spans="1:9">
      <c r="A8" s="10">
        <v>1</v>
      </c>
      <c r="B8" s="10"/>
      <c r="C8" s="10"/>
      <c r="D8" s="11"/>
      <c r="E8" s="11"/>
      <c r="F8" s="70"/>
      <c r="G8" s="19"/>
      <c r="H8" s="70"/>
      <c r="I8" s="19"/>
    </row>
    <row r="9" spans="1:9">
      <c r="A9" s="10">
        <v>2</v>
      </c>
      <c r="B9" s="10"/>
      <c r="C9" s="10"/>
      <c r="D9" s="11"/>
      <c r="E9" s="11"/>
      <c r="F9" s="61"/>
      <c r="G9" s="19"/>
      <c r="H9" s="61"/>
      <c r="I9" s="19"/>
    </row>
    <row r="10" spans="1:9">
      <c r="A10" s="10">
        <v>3</v>
      </c>
      <c r="B10" s="10"/>
      <c r="C10" s="10"/>
      <c r="D10" s="11"/>
      <c r="E10" s="11"/>
      <c r="F10" s="61"/>
      <c r="G10" s="19"/>
      <c r="H10" s="61"/>
      <c r="I10" s="19"/>
    </row>
    <row r="11" spans="1:9">
      <c r="A11" s="10">
        <v>4</v>
      </c>
      <c r="B11" s="10"/>
      <c r="C11" s="10"/>
      <c r="D11" s="11"/>
      <c r="E11" s="11"/>
      <c r="F11" s="61"/>
      <c r="G11" s="19"/>
      <c r="H11" s="61"/>
      <c r="I11" s="19"/>
    </row>
    <row r="12" spans="1:9">
      <c r="A12" s="10">
        <v>5</v>
      </c>
      <c r="B12" s="10"/>
      <c r="C12" s="10"/>
      <c r="D12" s="11"/>
      <c r="E12" s="11"/>
      <c r="F12" s="61"/>
      <c r="G12" s="19"/>
      <c r="H12" s="61"/>
      <c r="I12" s="19"/>
    </row>
    <row r="13" spans="1:9">
      <c r="A13" s="10">
        <v>6</v>
      </c>
      <c r="B13" s="10"/>
      <c r="C13" s="10"/>
      <c r="D13" s="11"/>
      <c r="E13" s="22"/>
      <c r="F13" s="61"/>
      <c r="G13" s="19"/>
      <c r="H13" s="61"/>
      <c r="I13" s="19"/>
    </row>
    <row r="14" spans="1:9">
      <c r="A14" s="10">
        <v>7</v>
      </c>
      <c r="B14" s="10"/>
      <c r="C14" s="10"/>
      <c r="D14" s="11"/>
      <c r="E14" s="22"/>
      <c r="F14" s="61"/>
      <c r="G14" s="19"/>
      <c r="H14" s="61"/>
      <c r="I14" s="19"/>
    </row>
    <row r="15" spans="1:9">
      <c r="A15" s="10">
        <v>8</v>
      </c>
      <c r="B15" s="10"/>
      <c r="C15" s="10"/>
      <c r="D15" s="11"/>
      <c r="E15" s="22"/>
      <c r="F15" s="61"/>
      <c r="G15" s="19"/>
      <c r="H15" s="61"/>
      <c r="I15" s="19"/>
    </row>
    <row r="16" spans="1:9">
      <c r="A16" s="10">
        <v>9</v>
      </c>
      <c r="B16" s="10"/>
      <c r="C16" s="10"/>
      <c r="D16" s="10"/>
      <c r="E16" s="22"/>
      <c r="F16" s="61"/>
      <c r="G16" s="19"/>
      <c r="H16" s="61"/>
      <c r="I16" s="19"/>
    </row>
    <row r="17" spans="1:9">
      <c r="A17" s="10">
        <v>10</v>
      </c>
      <c r="B17" s="10"/>
      <c r="C17" s="10"/>
      <c r="D17" s="10"/>
      <c r="E17" s="22"/>
      <c r="F17" s="61"/>
      <c r="G17" s="19"/>
      <c r="H17" s="61"/>
      <c r="I17" s="19"/>
    </row>
    <row r="18" spans="1:9">
      <c r="A18" s="10">
        <v>11</v>
      </c>
      <c r="B18" s="10"/>
      <c r="C18" s="10"/>
      <c r="D18" s="10"/>
      <c r="E18" s="22"/>
      <c r="F18" s="61"/>
      <c r="G18" s="19"/>
      <c r="H18" s="61"/>
      <c r="I18" s="19"/>
    </row>
    <row r="19" spans="1:9">
      <c r="A19" s="10">
        <v>12</v>
      </c>
      <c r="B19" s="10"/>
      <c r="C19" s="10"/>
      <c r="D19" s="10"/>
      <c r="E19" s="22"/>
      <c r="F19" s="61"/>
      <c r="G19" s="19"/>
      <c r="H19" s="61"/>
      <c r="I19" s="19"/>
    </row>
    <row r="20" spans="1:9">
      <c r="A20" s="10">
        <v>13</v>
      </c>
      <c r="B20" s="10"/>
      <c r="C20" s="10"/>
      <c r="D20" s="10"/>
      <c r="E20" s="22"/>
      <c r="F20" s="61"/>
      <c r="G20" s="19"/>
      <c r="H20" s="61"/>
      <c r="I20" s="19"/>
    </row>
    <row r="21" spans="1:9">
      <c r="A21" s="10">
        <v>14</v>
      </c>
      <c r="B21" s="10"/>
      <c r="C21" s="10"/>
      <c r="D21" s="10"/>
      <c r="E21" s="22"/>
      <c r="F21" s="61"/>
      <c r="G21" s="19"/>
      <c r="H21" s="61"/>
      <c r="I21" s="19"/>
    </row>
    <row r="22" spans="1:9">
      <c r="A22" s="10">
        <v>15</v>
      </c>
      <c r="B22" s="10"/>
      <c r="C22" s="10"/>
      <c r="D22" s="10"/>
      <c r="E22" s="22"/>
      <c r="F22" s="61"/>
      <c r="G22" s="19"/>
      <c r="H22" s="61"/>
      <c r="I22" s="19"/>
    </row>
    <row r="25" spans="1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I52"/>
  <sheetViews>
    <sheetView showGridLines="0" zoomScale="190" zoomScaleNormal="190" workbookViewId="0">
      <selection activeCell="K7" sqref="K7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</cols>
  <sheetData>
    <row r="1" spans="1:9" s="45" customFormat="1" ht="25.5">
      <c r="A1" s="45" t="s">
        <v>59</v>
      </c>
      <c r="I1" s="112"/>
    </row>
    <row r="2" spans="1:9" ht="18" customHeight="1" thickBot="1">
      <c r="I2" s="112"/>
    </row>
    <row r="3" spans="1:9">
      <c r="C3" s="7" t="s">
        <v>34</v>
      </c>
      <c r="D3" s="8">
        <f ca="1">IF($D$4&lt;&gt;"",$D$4,WORKDAY(TODAY(),-1))</f>
        <v>45867</v>
      </c>
      <c r="E3" s="2" t="str">
        <f ca="1">TEXT(D3,"aaaa")</f>
        <v>火曜日</v>
      </c>
    </row>
    <row r="4" spans="1:9" ht="19.5" thickBot="1">
      <c r="C4" s="5" t="s">
        <v>0</v>
      </c>
      <c r="D4" s="46">
        <v>45867</v>
      </c>
      <c r="E4" s="6" t="s">
        <v>38</v>
      </c>
      <c r="H4" s="16"/>
      <c r="I4" s="16"/>
    </row>
    <row r="5" spans="1:9">
      <c r="C5" s="6"/>
      <c r="D5" s="21"/>
      <c r="H5" s="16"/>
      <c r="I5" s="16"/>
    </row>
    <row r="6" spans="1:9" ht="19.5" thickBot="1">
      <c r="B6" s="44" t="s">
        <v>33</v>
      </c>
      <c r="E6" s="2"/>
      <c r="F6" s="2" t="s">
        <v>67</v>
      </c>
    </row>
    <row r="7" spans="1:9">
      <c r="B7" s="41" t="s">
        <v>26</v>
      </c>
      <c r="C7" s="56" t="s">
        <v>24</v>
      </c>
      <c r="D7" s="56" t="s">
        <v>87</v>
      </c>
      <c r="E7" s="26" t="s">
        <v>36</v>
      </c>
      <c r="F7" s="96" t="s">
        <v>37</v>
      </c>
      <c r="G7" s="32" t="s">
        <v>32</v>
      </c>
      <c r="H7" s="33" t="s">
        <v>88</v>
      </c>
    </row>
    <row r="8" spans="1:9">
      <c r="B8" s="42">
        <v>1</v>
      </c>
      <c r="C8" s="10" t="s">
        <v>23</v>
      </c>
      <c r="D8" s="10" t="s">
        <v>42</v>
      </c>
      <c r="E8" s="99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97"/>
      <c r="G8" s="10"/>
      <c r="H8" s="34"/>
    </row>
    <row r="9" spans="1:9">
      <c r="B9" s="42">
        <v>2</v>
      </c>
      <c r="C9" s="10" t="s">
        <v>23</v>
      </c>
      <c r="D9" s="10" t="s">
        <v>44</v>
      </c>
      <c r="E9" s="99">
        <f>IF(OR(C9="", D9=""), 0, IF(F9&lt;&gt;"",TIME(INT(F9/100),MOD(F9,100),0),SUMPRODUCT((データ取得!$F$8:$F$22=C9)*(データ取得!$H$8:$H$22=D9),TIME(INT(データ取得!$E$8:$E$22/100),MOD(データ取得!$E$8:$E$22,100),0))))</f>
        <v>0</v>
      </c>
      <c r="F9" s="97"/>
      <c r="G9" s="10"/>
      <c r="H9" s="34"/>
    </row>
    <row r="10" spans="1:9">
      <c r="B10" s="42">
        <v>3</v>
      </c>
      <c r="C10" s="10" t="s">
        <v>23</v>
      </c>
      <c r="D10" s="10" t="s">
        <v>49</v>
      </c>
      <c r="E10" s="99">
        <f>IF(OR(C10="", D10=""), 0, IF(F10&lt;&gt;"",TIME(INT(F10/100),MOD(F10,100),0),SUMPRODUCT((データ取得!$F$8:$F$22=C10)*(データ取得!$H$8:$H$22=D10),TIME(INT(データ取得!$E$8:$E$22/100),MOD(データ取得!$E$8:$E$22,100),0))))</f>
        <v>0.20833333333333334</v>
      </c>
      <c r="F10" s="97">
        <v>500</v>
      </c>
      <c r="G10" s="10"/>
      <c r="H10" s="34"/>
    </row>
    <row r="11" spans="1:9">
      <c r="B11" s="42">
        <v>4</v>
      </c>
      <c r="C11" s="10" t="s">
        <v>35</v>
      </c>
      <c r="D11" s="10" t="s">
        <v>50</v>
      </c>
      <c r="E11" s="99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97"/>
      <c r="G11" s="10"/>
      <c r="H11" s="34"/>
    </row>
    <row r="12" spans="1:9">
      <c r="B12" s="42">
        <v>5</v>
      </c>
      <c r="C12" s="10" t="s">
        <v>35</v>
      </c>
      <c r="D12" s="10" t="s">
        <v>52</v>
      </c>
      <c r="E12" s="99">
        <f>IF(OR(C12="", D12=""), 0, IF(F12&lt;&gt;"",TIME(INT(F12/100),MOD(F12,100),0),SUMPRODUCT((データ取得!$F$8:$F$22=C12)*(データ取得!$H$8:$H$22=D12),TIME(INT(データ取得!$E$8:$E$22/100),MOD(データ取得!$E$8:$E$22,100),0))))</f>
        <v>0.16666666666666666</v>
      </c>
      <c r="F12" s="97">
        <v>400</v>
      </c>
      <c r="G12" s="10"/>
      <c r="H12" s="34"/>
    </row>
    <row r="13" spans="1:9">
      <c r="B13" s="42">
        <v>6</v>
      </c>
      <c r="C13" s="10" t="s">
        <v>35</v>
      </c>
      <c r="D13" s="10" t="s">
        <v>51</v>
      </c>
      <c r="E13" s="99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97"/>
      <c r="G13" s="10"/>
      <c r="H13" s="34"/>
    </row>
    <row r="14" spans="1:9">
      <c r="B14" s="42">
        <v>7</v>
      </c>
      <c r="C14" s="10" t="s">
        <v>75</v>
      </c>
      <c r="D14" s="10" t="s">
        <v>77</v>
      </c>
      <c r="E14" s="99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97"/>
      <c r="G14" s="10"/>
      <c r="H14" s="34"/>
    </row>
    <row r="15" spans="1:9">
      <c r="B15" s="42">
        <v>8</v>
      </c>
      <c r="C15" s="10" t="s">
        <v>23</v>
      </c>
      <c r="D15" s="104">
        <v>44447777</v>
      </c>
      <c r="E15" s="99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97"/>
      <c r="G15" s="10"/>
      <c r="H15" s="34"/>
    </row>
    <row r="16" spans="1:9">
      <c r="B16" s="42">
        <v>9</v>
      </c>
      <c r="C16" s="10" t="s">
        <v>80</v>
      </c>
      <c r="D16" s="104">
        <v>456</v>
      </c>
      <c r="E16" s="99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97"/>
      <c r="G16" s="10"/>
      <c r="H16" s="34"/>
    </row>
    <row r="17" spans="2:9" ht="19.5" thickBot="1">
      <c r="B17" s="43">
        <v>10</v>
      </c>
      <c r="C17" s="35" t="s">
        <v>23</v>
      </c>
      <c r="D17" s="105">
        <v>456</v>
      </c>
      <c r="E17" s="100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98"/>
      <c r="G17" s="35"/>
      <c r="H17" s="36"/>
    </row>
    <row r="18" spans="2:9">
      <c r="D18" s="16" t="s">
        <v>85</v>
      </c>
      <c r="E18" s="40">
        <f>SUM(E8:E17)</f>
        <v>0.375</v>
      </c>
      <c r="G18" s="16" t="s">
        <v>61</v>
      </c>
      <c r="H18" s="95">
        <f>HOUR(E18)*60 + MINUTE(E18)</f>
        <v>540</v>
      </c>
    </row>
    <row r="19" spans="2:9">
      <c r="D19" s="47" t="s">
        <v>86</v>
      </c>
      <c r="E19" s="1"/>
    </row>
    <row r="21" spans="2:9" ht="19.5" thickBot="1"/>
    <row r="22" spans="2:9">
      <c r="E22" s="63" t="s">
        <v>70</v>
      </c>
    </row>
    <row r="23" spans="2:9" ht="19.5" thickBot="1">
      <c r="E23" s="62">
        <f>IF(F22&lt;&gt;"",TIME(INT(F22/100),MOD(F22,100),0),SUMPRODUCT(
   (データ取得!$F$8:$F$22=C22)*(データ取得!$H$8:$H$22=D22),
   TIME(INT(データ取得!$E$8:$E$22/100), MOD(データ取得!$E$8:$E$22,100), 0)
))</f>
        <v>0</v>
      </c>
    </row>
    <row r="25" spans="2:9">
      <c r="I25" s="2"/>
    </row>
    <row r="26" spans="2:9">
      <c r="I26" s="2"/>
    </row>
    <row r="51" spans="5:5">
      <c r="E51" t="s">
        <v>62</v>
      </c>
    </row>
    <row r="52" spans="5:5">
      <c r="E52" s="23">
        <v>0</v>
      </c>
    </row>
  </sheetData>
  <mergeCells count="1">
    <mergeCell ref="I1:I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Q43"/>
  <sheetViews>
    <sheetView showGridLines="0" tabSelected="1" topLeftCell="A10" workbookViewId="0">
      <selection activeCell="E1" sqref="E1"/>
    </sheetView>
  </sheetViews>
  <sheetFormatPr defaultRowHeight="18.75"/>
  <cols>
    <col min="1" max="1" width="4.875" customWidth="1"/>
    <col min="2" max="2" width="11.75" bestFit="1" customWidth="1"/>
    <col min="3" max="3" width="9.625" customWidth="1"/>
    <col min="4" max="4" width="7.75" customWidth="1"/>
    <col min="5" max="15" width="12.625" customWidth="1"/>
    <col min="16" max="16" width="8" customWidth="1"/>
  </cols>
  <sheetData>
    <row r="1" spans="1:16" ht="39.75" customHeight="1">
      <c r="A1" s="108" t="s">
        <v>92</v>
      </c>
      <c r="B1" s="107"/>
      <c r="C1" s="103"/>
      <c r="D1" s="109" t="s">
        <v>94</v>
      </c>
      <c r="E1" s="110"/>
    </row>
    <row r="2" spans="1:16" ht="18.75" customHeight="1">
      <c r="A2" s="44"/>
      <c r="B2" s="14" t="s">
        <v>24</v>
      </c>
      <c r="C2" s="14" t="s">
        <v>93</v>
      </c>
      <c r="D2" s="14" t="s">
        <v>54</v>
      </c>
      <c r="E2" s="48" t="s">
        <v>55</v>
      </c>
      <c r="F2" s="48" t="s">
        <v>56</v>
      </c>
      <c r="G2" s="48" t="s">
        <v>57</v>
      </c>
      <c r="H2" s="48" t="s">
        <v>91</v>
      </c>
      <c r="J2" s="48" t="s">
        <v>90</v>
      </c>
    </row>
    <row r="3" spans="1:16">
      <c r="B3" s="1" t="s">
        <v>23</v>
      </c>
      <c r="C3" s="1"/>
      <c r="D3" s="92">
        <f>SUMIF($E$10:$N$10, B3, $E$43:$N$43)</f>
        <v>0.93055555555555558</v>
      </c>
      <c r="E3" s="101">
        <f>HOUR(D3)*60 + MINUTE(D3)</f>
        <v>1340</v>
      </c>
      <c r="F3" s="102">
        <v>7406</v>
      </c>
      <c r="G3" s="102">
        <f>F3-E3</f>
        <v>6066</v>
      </c>
      <c r="H3" s="92">
        <f>G3/1440</f>
        <v>4.2125000000000004</v>
      </c>
      <c r="I3" s="13"/>
      <c r="J3" s="113"/>
      <c r="K3" s="114"/>
      <c r="L3" s="114"/>
      <c r="M3" s="114"/>
      <c r="N3" s="114"/>
      <c r="O3" s="115"/>
    </row>
    <row r="4" spans="1:16">
      <c r="B4" s="1" t="s">
        <v>40</v>
      </c>
      <c r="C4" s="1"/>
      <c r="D4" s="92">
        <f>SUMIF($E$10:$N$10, B4, $E$43:$N$43)</f>
        <v>0.89583333333333326</v>
      </c>
      <c r="E4" s="101">
        <f>DAY(D4)*1440+HOUR(D4)*60 + MINUTE(D4)</f>
        <v>1290</v>
      </c>
      <c r="F4" s="102" t="s">
        <v>48</v>
      </c>
      <c r="G4" s="102" t="s">
        <v>48</v>
      </c>
      <c r="H4" s="92">
        <f>G3/1440</f>
        <v>4.2125000000000004</v>
      </c>
      <c r="J4" s="116"/>
      <c r="K4" s="117"/>
      <c r="L4" s="117"/>
      <c r="M4" s="117"/>
      <c r="N4" s="117"/>
      <c r="O4" s="118"/>
    </row>
    <row r="5" spans="1:16">
      <c r="B5" s="1"/>
      <c r="C5" s="1"/>
      <c r="D5" s="92">
        <v>0</v>
      </c>
      <c r="E5" s="101">
        <f>HOUR(D5)*60 + MINUTE(D5)</f>
        <v>0</v>
      </c>
      <c r="F5" s="102"/>
      <c r="G5" s="102"/>
      <c r="H5" s="1"/>
      <c r="J5" s="116"/>
      <c r="K5" s="117"/>
      <c r="L5" s="117"/>
      <c r="M5" s="117"/>
      <c r="N5" s="117"/>
      <c r="O5" s="118"/>
    </row>
    <row r="6" spans="1:16">
      <c r="B6" s="1"/>
      <c r="C6" s="1"/>
      <c r="D6" s="92"/>
      <c r="E6" s="101">
        <f>HOUR(D6)*60 + MINUTE(D6)</f>
        <v>0</v>
      </c>
      <c r="F6" s="102"/>
      <c r="G6" s="102"/>
      <c r="H6" s="1"/>
      <c r="J6" s="119"/>
      <c r="K6" s="120"/>
      <c r="L6" s="120"/>
      <c r="M6" s="120"/>
      <c r="N6" s="120"/>
      <c r="O6" s="121"/>
    </row>
    <row r="7" spans="1:16">
      <c r="B7" s="1"/>
      <c r="C7" s="1"/>
      <c r="D7" s="92"/>
      <c r="E7" s="101">
        <f>HOUR(D7)*60 + MINUTE(D7)</f>
        <v>0</v>
      </c>
      <c r="F7" s="102"/>
      <c r="G7" s="102"/>
      <c r="H7" s="1"/>
    </row>
    <row r="8" spans="1:16" ht="19.5">
      <c r="D8" s="93">
        <f>SUM(D3:D7)</f>
        <v>1.8263888888888888</v>
      </c>
      <c r="E8" s="94">
        <f>SUM(E3:E7)</f>
        <v>2630</v>
      </c>
      <c r="F8" s="49"/>
      <c r="G8" s="49"/>
      <c r="H8" s="49"/>
      <c r="I8" s="49"/>
      <c r="J8" s="49"/>
      <c r="K8" s="49"/>
      <c r="L8" s="49"/>
      <c r="M8" s="49"/>
      <c r="N8" s="49"/>
    </row>
    <row r="9" spans="1:16" ht="20.25" thickBot="1">
      <c r="C9" s="50"/>
      <c r="D9" s="51"/>
      <c r="E9" s="49"/>
      <c r="F9" s="49"/>
      <c r="G9" s="49"/>
      <c r="H9" s="49"/>
      <c r="I9" s="49"/>
      <c r="J9" s="49"/>
      <c r="K9" s="49"/>
      <c r="L9" s="49"/>
      <c r="M9" s="49"/>
      <c r="N9" s="49"/>
    </row>
    <row r="10" spans="1:16">
      <c r="A10" s="44"/>
      <c r="B10" s="25" t="s">
        <v>47</v>
      </c>
      <c r="C10" s="30"/>
      <c r="D10" s="37" t="s">
        <v>24</v>
      </c>
      <c r="E10" s="60" t="s">
        <v>23</v>
      </c>
      <c r="F10" s="56" t="s">
        <v>23</v>
      </c>
      <c r="G10" s="56" t="s">
        <v>23</v>
      </c>
      <c r="H10" s="56" t="s">
        <v>35</v>
      </c>
      <c r="I10" s="56" t="s">
        <v>40</v>
      </c>
      <c r="J10" s="56" t="s">
        <v>35</v>
      </c>
      <c r="K10" s="56" t="s">
        <v>35</v>
      </c>
      <c r="L10" s="56"/>
      <c r="M10" s="65" t="s">
        <v>79</v>
      </c>
      <c r="N10" s="67" t="s">
        <v>74</v>
      </c>
    </row>
    <row r="11" spans="1:16" ht="19.5" thickBot="1">
      <c r="A11" s="44"/>
      <c r="B11" s="27" t="s">
        <v>25</v>
      </c>
      <c r="C11" s="29" t="s">
        <v>46</v>
      </c>
      <c r="D11" s="38" t="s">
        <v>87</v>
      </c>
      <c r="E11" s="31" t="s">
        <v>41</v>
      </c>
      <c r="F11" s="28" t="s">
        <v>43</v>
      </c>
      <c r="G11" s="64" t="s">
        <v>76</v>
      </c>
      <c r="H11" s="28" t="s">
        <v>50</v>
      </c>
      <c r="I11" s="28" t="s">
        <v>52</v>
      </c>
      <c r="J11" s="28" t="s">
        <v>51</v>
      </c>
      <c r="K11" s="28" t="s">
        <v>53</v>
      </c>
      <c r="L11" s="64" t="s">
        <v>73</v>
      </c>
      <c r="M11" s="64" t="s">
        <v>78</v>
      </c>
      <c r="N11" s="66" t="s">
        <v>76</v>
      </c>
    </row>
    <row r="12" spans="1:16">
      <c r="B12" s="57">
        <v>45839</v>
      </c>
      <c r="C12" s="73">
        <f>SUM(E12:N12)</f>
        <v>0</v>
      </c>
      <c r="D12" s="74" t="s">
        <v>48</v>
      </c>
      <c r="E12" s="75"/>
      <c r="F12" s="76"/>
      <c r="G12" s="76"/>
      <c r="H12" s="76"/>
      <c r="I12" s="76"/>
      <c r="J12" s="76"/>
      <c r="K12" s="76"/>
      <c r="L12" s="76"/>
      <c r="M12" s="76"/>
      <c r="N12" s="73"/>
      <c r="O12" s="103"/>
      <c r="P12" s="106">
        <f>IF(N(C12)&lt;&gt;0, C12 - TIME(7, 45, 0), C12)</f>
        <v>0</v>
      </c>
    </row>
    <row r="13" spans="1:16">
      <c r="B13" s="58">
        <f>B12+1</f>
        <v>45840</v>
      </c>
      <c r="C13" s="77">
        <f>SUM(E13:N13)</f>
        <v>0</v>
      </c>
      <c r="D13" s="78" t="s">
        <v>48</v>
      </c>
      <c r="E13" s="79"/>
      <c r="F13" s="80"/>
      <c r="G13" s="80"/>
      <c r="H13" s="80"/>
      <c r="I13" s="80"/>
      <c r="J13" s="80"/>
      <c r="K13" s="80"/>
      <c r="L13" s="80"/>
      <c r="M13" s="80"/>
      <c r="N13" s="77"/>
      <c r="O13" s="103"/>
      <c r="P13" s="106">
        <f>IF(N(C13)&lt;&gt;0, C13 - TIME(7, 45, 0), C13)</f>
        <v>0</v>
      </c>
    </row>
    <row r="14" spans="1:16">
      <c r="B14" s="58">
        <f t="shared" ref="B14:B41" si="0">B13+1</f>
        <v>45841</v>
      </c>
      <c r="C14" s="77">
        <f t="shared" ref="C14:C42" si="1">SUM(E14:N14)</f>
        <v>0</v>
      </c>
      <c r="D14" s="78" t="s">
        <v>48</v>
      </c>
      <c r="E14" s="79"/>
      <c r="F14" s="80"/>
      <c r="G14" s="80"/>
      <c r="H14" s="80"/>
      <c r="I14" s="80"/>
      <c r="J14" s="80"/>
      <c r="K14" s="80"/>
      <c r="L14" s="80"/>
      <c r="M14" s="80"/>
      <c r="N14" s="77"/>
      <c r="O14" s="103"/>
      <c r="P14" s="106">
        <f t="shared" ref="P14:P42" si="2">IF(N(C14)&lt;&gt;0, C14 - TIME(7, 45, 0), C14)</f>
        <v>0</v>
      </c>
    </row>
    <row r="15" spans="1:16">
      <c r="B15" s="58">
        <f t="shared" si="0"/>
        <v>45842</v>
      </c>
      <c r="C15" s="77">
        <f t="shared" si="1"/>
        <v>0</v>
      </c>
      <c r="D15" s="78" t="s">
        <v>48</v>
      </c>
      <c r="E15" s="79"/>
      <c r="F15" s="80"/>
      <c r="G15" s="80"/>
      <c r="H15" s="80"/>
      <c r="I15" s="80"/>
      <c r="J15" s="80"/>
      <c r="K15" s="80"/>
      <c r="L15" s="80"/>
      <c r="M15" s="80"/>
      <c r="N15" s="77"/>
      <c r="O15" s="103"/>
      <c r="P15" s="106">
        <f t="shared" si="2"/>
        <v>0</v>
      </c>
    </row>
    <row r="16" spans="1:16">
      <c r="B16" s="58">
        <f t="shared" si="0"/>
        <v>45843</v>
      </c>
      <c r="C16" s="77">
        <f t="shared" si="1"/>
        <v>0</v>
      </c>
      <c r="D16" s="78" t="s">
        <v>48</v>
      </c>
      <c r="E16" s="79"/>
      <c r="F16" s="80"/>
      <c r="G16" s="80"/>
      <c r="H16" s="80"/>
      <c r="I16" s="80"/>
      <c r="J16" s="80"/>
      <c r="K16" s="80"/>
      <c r="L16" s="80"/>
      <c r="M16" s="80"/>
      <c r="N16" s="77"/>
      <c r="O16" s="103"/>
      <c r="P16" s="106">
        <f t="shared" si="2"/>
        <v>0</v>
      </c>
    </row>
    <row r="17" spans="2:16">
      <c r="B17" s="58">
        <f t="shared" si="0"/>
        <v>45844</v>
      </c>
      <c r="C17" s="77">
        <f t="shared" si="1"/>
        <v>0</v>
      </c>
      <c r="D17" s="78" t="s">
        <v>48</v>
      </c>
      <c r="E17" s="79"/>
      <c r="F17" s="80"/>
      <c r="G17" s="80"/>
      <c r="H17" s="80"/>
      <c r="I17" s="80"/>
      <c r="J17" s="80"/>
      <c r="K17" s="80"/>
      <c r="L17" s="80"/>
      <c r="M17" s="80"/>
      <c r="N17" s="77"/>
      <c r="O17" s="103"/>
      <c r="P17" s="106">
        <f t="shared" si="2"/>
        <v>0</v>
      </c>
    </row>
    <row r="18" spans="2:16">
      <c r="B18" s="58">
        <f t="shared" si="0"/>
        <v>45845</v>
      </c>
      <c r="C18" s="77">
        <f t="shared" si="1"/>
        <v>0</v>
      </c>
      <c r="D18" s="78" t="s">
        <v>48</v>
      </c>
      <c r="E18" s="79"/>
      <c r="F18" s="80"/>
      <c r="G18" s="80"/>
      <c r="H18" s="80"/>
      <c r="I18" s="80"/>
      <c r="J18" s="80"/>
      <c r="K18" s="80"/>
      <c r="L18" s="80"/>
      <c r="M18" s="80"/>
      <c r="N18" s="77"/>
      <c r="O18" s="103"/>
      <c r="P18" s="106">
        <f t="shared" si="2"/>
        <v>0</v>
      </c>
    </row>
    <row r="19" spans="2:16">
      <c r="B19" s="58">
        <f t="shared" si="0"/>
        <v>45846</v>
      </c>
      <c r="C19" s="77">
        <f t="shared" si="1"/>
        <v>0</v>
      </c>
      <c r="D19" s="78" t="s">
        <v>48</v>
      </c>
      <c r="E19" s="79"/>
      <c r="F19" s="80"/>
      <c r="G19" s="80"/>
      <c r="H19" s="80"/>
      <c r="I19" s="80"/>
      <c r="J19" s="80"/>
      <c r="K19" s="80"/>
      <c r="L19" s="80"/>
      <c r="M19" s="80"/>
      <c r="N19" s="77"/>
      <c r="O19" s="103"/>
      <c r="P19" s="106">
        <f t="shared" si="2"/>
        <v>0</v>
      </c>
    </row>
    <row r="20" spans="2:16">
      <c r="B20" s="58">
        <f t="shared" si="0"/>
        <v>45847</v>
      </c>
      <c r="C20" s="77">
        <f t="shared" si="1"/>
        <v>0</v>
      </c>
      <c r="D20" s="78" t="s">
        <v>48</v>
      </c>
      <c r="E20" s="79"/>
      <c r="F20" s="80"/>
      <c r="G20" s="80"/>
      <c r="H20" s="80"/>
      <c r="I20" s="80"/>
      <c r="J20" s="80"/>
      <c r="K20" s="80"/>
      <c r="L20" s="80"/>
      <c r="M20" s="80"/>
      <c r="N20" s="77"/>
      <c r="O20" s="103"/>
      <c r="P20" s="106">
        <f t="shared" si="2"/>
        <v>0</v>
      </c>
    </row>
    <row r="21" spans="2:16">
      <c r="B21" s="58">
        <f t="shared" si="0"/>
        <v>45848</v>
      </c>
      <c r="C21" s="77">
        <f t="shared" si="1"/>
        <v>0</v>
      </c>
      <c r="D21" s="78" t="s">
        <v>48</v>
      </c>
      <c r="E21" s="79"/>
      <c r="F21" s="80"/>
      <c r="G21" s="80"/>
      <c r="H21" s="80"/>
      <c r="I21" s="80"/>
      <c r="J21" s="80"/>
      <c r="K21" s="80"/>
      <c r="L21" s="80"/>
      <c r="M21" s="80"/>
      <c r="N21" s="77"/>
      <c r="O21" s="103"/>
      <c r="P21" s="106">
        <f t="shared" si="2"/>
        <v>0</v>
      </c>
    </row>
    <row r="22" spans="2:16">
      <c r="B22" s="58">
        <f t="shared" si="0"/>
        <v>45849</v>
      </c>
      <c r="C22" s="77">
        <f t="shared" si="1"/>
        <v>0</v>
      </c>
      <c r="D22" s="78" t="s">
        <v>48</v>
      </c>
      <c r="E22" s="79"/>
      <c r="F22" s="80"/>
      <c r="G22" s="80"/>
      <c r="H22" s="80"/>
      <c r="I22" s="80"/>
      <c r="J22" s="80"/>
      <c r="K22" s="80"/>
      <c r="L22" s="80"/>
      <c r="M22" s="80"/>
      <c r="N22" s="77"/>
      <c r="O22" s="103"/>
      <c r="P22" s="106">
        <f t="shared" si="2"/>
        <v>0</v>
      </c>
    </row>
    <row r="23" spans="2:16">
      <c r="B23" s="58">
        <f t="shared" si="0"/>
        <v>45850</v>
      </c>
      <c r="C23" s="77">
        <f t="shared" si="1"/>
        <v>0</v>
      </c>
      <c r="D23" s="78" t="s">
        <v>48</v>
      </c>
      <c r="E23" s="79"/>
      <c r="F23" s="80"/>
      <c r="G23" s="80"/>
      <c r="H23" s="80"/>
      <c r="I23" s="80"/>
      <c r="J23" s="80"/>
      <c r="K23" s="80"/>
      <c r="L23" s="80"/>
      <c r="M23" s="80"/>
      <c r="N23" s="77"/>
      <c r="O23" s="103"/>
      <c r="P23" s="106">
        <f t="shared" si="2"/>
        <v>0</v>
      </c>
    </row>
    <row r="24" spans="2:16">
      <c r="B24" s="58">
        <f t="shared" si="0"/>
        <v>45851</v>
      </c>
      <c r="C24" s="77">
        <f t="shared" si="1"/>
        <v>0</v>
      </c>
      <c r="D24" s="78" t="s">
        <v>48</v>
      </c>
      <c r="E24" s="79"/>
      <c r="F24" s="80"/>
      <c r="G24" s="80"/>
      <c r="H24" s="80"/>
      <c r="I24" s="80"/>
      <c r="J24" s="80"/>
      <c r="K24" s="80"/>
      <c r="L24" s="80"/>
      <c r="M24" s="80"/>
      <c r="N24" s="77"/>
      <c r="O24" s="103"/>
      <c r="P24" s="106">
        <f t="shared" si="2"/>
        <v>0</v>
      </c>
    </row>
    <row r="25" spans="2:16">
      <c r="B25" s="58">
        <f t="shared" si="0"/>
        <v>45852</v>
      </c>
      <c r="C25" s="77">
        <f t="shared" si="1"/>
        <v>0</v>
      </c>
      <c r="D25" s="78" t="s">
        <v>48</v>
      </c>
      <c r="E25" s="79"/>
      <c r="F25" s="80"/>
      <c r="G25" s="80"/>
      <c r="H25" s="80"/>
      <c r="I25" s="80"/>
      <c r="J25" s="80"/>
      <c r="K25" s="80"/>
      <c r="L25" s="80"/>
      <c r="M25" s="80"/>
      <c r="N25" s="77"/>
      <c r="O25" s="103"/>
      <c r="P25" s="106">
        <f t="shared" si="2"/>
        <v>0</v>
      </c>
    </row>
    <row r="26" spans="2:16">
      <c r="B26" s="58">
        <f t="shared" si="0"/>
        <v>45853</v>
      </c>
      <c r="C26" s="77">
        <f t="shared" si="1"/>
        <v>0</v>
      </c>
      <c r="D26" s="78" t="s">
        <v>48</v>
      </c>
      <c r="E26" s="79"/>
      <c r="F26" s="80"/>
      <c r="G26" s="80"/>
      <c r="H26" s="80"/>
      <c r="I26" s="80"/>
      <c r="J26" s="80"/>
      <c r="K26" s="80"/>
      <c r="L26" s="80"/>
      <c r="M26" s="80"/>
      <c r="N26" s="77"/>
      <c r="O26" s="103"/>
      <c r="P26" s="106">
        <f t="shared" si="2"/>
        <v>0</v>
      </c>
    </row>
    <row r="27" spans="2:16">
      <c r="B27" s="58">
        <f t="shared" si="0"/>
        <v>45854</v>
      </c>
      <c r="C27" s="77">
        <f t="shared" si="1"/>
        <v>0</v>
      </c>
      <c r="D27" s="78" t="s">
        <v>48</v>
      </c>
      <c r="E27" s="79"/>
      <c r="F27" s="80"/>
      <c r="G27" s="80"/>
      <c r="H27" s="80"/>
      <c r="I27" s="80"/>
      <c r="J27" s="80"/>
      <c r="K27" s="80"/>
      <c r="L27" s="80"/>
      <c r="M27" s="80"/>
      <c r="N27" s="77"/>
      <c r="O27" s="103"/>
      <c r="P27" s="106">
        <f t="shared" si="2"/>
        <v>0</v>
      </c>
    </row>
    <row r="28" spans="2:16">
      <c r="B28" s="58">
        <f t="shared" si="0"/>
        <v>45855</v>
      </c>
      <c r="C28" s="77">
        <f t="shared" si="1"/>
        <v>0</v>
      </c>
      <c r="D28" s="78" t="s">
        <v>48</v>
      </c>
      <c r="E28" s="79"/>
      <c r="F28" s="80"/>
      <c r="G28" s="80"/>
      <c r="H28" s="80"/>
      <c r="I28" s="80"/>
      <c r="J28" s="80"/>
      <c r="K28" s="80"/>
      <c r="L28" s="80"/>
      <c r="M28" s="80"/>
      <c r="N28" s="77"/>
      <c r="O28" s="103"/>
      <c r="P28" s="106">
        <f t="shared" si="2"/>
        <v>0</v>
      </c>
    </row>
    <row r="29" spans="2:16">
      <c r="B29" s="58">
        <f t="shared" si="0"/>
        <v>45856</v>
      </c>
      <c r="C29" s="77">
        <f t="shared" si="1"/>
        <v>0</v>
      </c>
      <c r="D29" s="78" t="s">
        <v>48</v>
      </c>
      <c r="E29" s="79"/>
      <c r="F29" s="80"/>
      <c r="G29" s="80"/>
      <c r="H29" s="80"/>
      <c r="I29" s="80"/>
      <c r="J29" s="80"/>
      <c r="K29" s="80"/>
      <c r="L29" s="80"/>
      <c r="M29" s="80"/>
      <c r="N29" s="77"/>
      <c r="O29" s="103"/>
      <c r="P29" s="106">
        <f t="shared" si="2"/>
        <v>0</v>
      </c>
    </row>
    <row r="30" spans="2:16">
      <c r="B30" s="58">
        <f t="shared" si="0"/>
        <v>45857</v>
      </c>
      <c r="C30" s="77">
        <f t="shared" si="1"/>
        <v>0.40972222222222221</v>
      </c>
      <c r="D30" s="78" t="s">
        <v>48</v>
      </c>
      <c r="E30" s="79">
        <v>0</v>
      </c>
      <c r="F30" s="80">
        <v>0</v>
      </c>
      <c r="G30" s="80">
        <v>0</v>
      </c>
      <c r="H30" s="80">
        <v>0.20833333333333334</v>
      </c>
      <c r="I30" s="80">
        <v>0.16666666666666666</v>
      </c>
      <c r="J30" s="80">
        <v>0</v>
      </c>
      <c r="K30" s="80"/>
      <c r="L30" s="80"/>
      <c r="M30" s="80">
        <v>3.4722222222222224E-2</v>
      </c>
      <c r="N30" s="77">
        <v>0</v>
      </c>
      <c r="O30" s="103"/>
      <c r="P30" s="106">
        <f t="shared" si="2"/>
        <v>8.6805555555555525E-2</v>
      </c>
    </row>
    <row r="31" spans="2:16">
      <c r="B31" s="58">
        <f t="shared" si="0"/>
        <v>45858</v>
      </c>
      <c r="C31" s="77">
        <f t="shared" si="1"/>
        <v>0</v>
      </c>
      <c r="D31" s="78" t="s">
        <v>48</v>
      </c>
      <c r="E31" s="79"/>
      <c r="F31" s="80"/>
      <c r="G31" s="80"/>
      <c r="H31" s="80"/>
      <c r="I31" s="80"/>
      <c r="J31" s="80"/>
      <c r="K31" s="80"/>
      <c r="L31" s="80"/>
      <c r="M31" s="80"/>
      <c r="N31" s="77"/>
      <c r="O31" s="103"/>
      <c r="P31" s="106">
        <f t="shared" si="2"/>
        <v>0</v>
      </c>
    </row>
    <row r="32" spans="2:16">
      <c r="B32" s="58">
        <f t="shared" si="0"/>
        <v>45859</v>
      </c>
      <c r="C32" s="77">
        <f t="shared" si="1"/>
        <v>0</v>
      </c>
      <c r="D32" s="78" t="s">
        <v>48</v>
      </c>
      <c r="E32" s="79"/>
      <c r="F32" s="80"/>
      <c r="G32" s="80"/>
      <c r="H32" s="80"/>
      <c r="I32" s="80"/>
      <c r="J32" s="80"/>
      <c r="K32" s="80"/>
      <c r="L32" s="80"/>
      <c r="M32" s="80"/>
      <c r="N32" s="77"/>
      <c r="O32" s="103"/>
      <c r="P32" s="106">
        <f t="shared" si="2"/>
        <v>0</v>
      </c>
    </row>
    <row r="33" spans="1:17">
      <c r="A33" s="71"/>
      <c r="B33" s="58">
        <f t="shared" si="0"/>
        <v>45860</v>
      </c>
      <c r="C33" s="77">
        <f t="shared" si="1"/>
        <v>0</v>
      </c>
      <c r="D33" s="78" t="s">
        <v>48</v>
      </c>
      <c r="E33" s="81"/>
      <c r="F33" s="80"/>
      <c r="G33" s="80"/>
      <c r="H33" s="80"/>
      <c r="I33" s="80"/>
      <c r="J33" s="82"/>
      <c r="K33" s="80"/>
      <c r="L33" s="80"/>
      <c r="M33" s="82"/>
      <c r="N33" s="77"/>
      <c r="O33" s="103"/>
      <c r="P33" s="106">
        <f t="shared" si="2"/>
        <v>0</v>
      </c>
    </row>
    <row r="34" spans="1:17">
      <c r="A34" s="91"/>
      <c r="B34" s="58">
        <f t="shared" si="0"/>
        <v>45861</v>
      </c>
      <c r="C34" s="77">
        <f t="shared" si="1"/>
        <v>0.56944444444444453</v>
      </c>
      <c r="D34" s="78" t="s">
        <v>48</v>
      </c>
      <c r="E34" s="79">
        <v>6.25E-2</v>
      </c>
      <c r="F34" s="80">
        <v>6.25E-2</v>
      </c>
      <c r="G34" s="80">
        <v>2.0833333333333332E-2</v>
      </c>
      <c r="H34" s="80">
        <v>2.0833333333333332E-2</v>
      </c>
      <c r="I34" s="72">
        <v>0.16666666666666666</v>
      </c>
      <c r="J34" s="80">
        <v>0</v>
      </c>
      <c r="K34" s="80"/>
      <c r="L34" s="80">
        <v>2.7777777777777776E-2</v>
      </c>
      <c r="M34" s="72">
        <v>0.20833333333333334</v>
      </c>
      <c r="N34" s="77">
        <v>0</v>
      </c>
      <c r="O34" s="103"/>
      <c r="P34" s="106">
        <f t="shared" si="2"/>
        <v>0.24652777777777785</v>
      </c>
    </row>
    <row r="35" spans="1:17">
      <c r="B35" s="58">
        <f t="shared" si="0"/>
        <v>45862</v>
      </c>
      <c r="C35" s="77">
        <f>SUM(E35:N35)</f>
        <v>0</v>
      </c>
      <c r="D35" s="78" t="s">
        <v>48</v>
      </c>
      <c r="E35" s="83"/>
      <c r="F35" s="83"/>
      <c r="G35" s="83"/>
      <c r="H35" s="83"/>
      <c r="I35" s="83"/>
      <c r="J35" s="83"/>
      <c r="K35" s="80"/>
      <c r="L35" s="83"/>
      <c r="M35" s="80"/>
      <c r="N35" s="77"/>
      <c r="O35" s="103"/>
      <c r="P35" s="106">
        <f t="shared" si="2"/>
        <v>0</v>
      </c>
    </row>
    <row r="36" spans="1:17">
      <c r="B36" s="58">
        <f>B35+1</f>
        <v>45863</v>
      </c>
      <c r="C36" s="77">
        <f t="shared" si="1"/>
        <v>0</v>
      </c>
      <c r="D36" s="78" t="s">
        <v>48</v>
      </c>
      <c r="E36" s="84"/>
      <c r="F36" s="80"/>
      <c r="G36" s="80"/>
      <c r="H36" s="80"/>
      <c r="I36" s="80"/>
      <c r="J36" s="80"/>
      <c r="K36" s="80"/>
      <c r="L36" s="80"/>
      <c r="M36" s="80"/>
      <c r="N36" s="77"/>
      <c r="O36" s="103"/>
      <c r="P36" s="106">
        <f t="shared" si="2"/>
        <v>0</v>
      </c>
    </row>
    <row r="37" spans="1:17">
      <c r="B37" s="58">
        <f t="shared" si="0"/>
        <v>45864</v>
      </c>
      <c r="C37" s="77">
        <f t="shared" si="1"/>
        <v>0</v>
      </c>
      <c r="D37" s="78" t="s">
        <v>48</v>
      </c>
      <c r="E37" s="79"/>
      <c r="F37" s="80"/>
      <c r="G37" s="80"/>
      <c r="H37" s="80"/>
      <c r="I37" s="80"/>
      <c r="J37" s="80"/>
      <c r="K37" s="80"/>
      <c r="L37" s="80"/>
      <c r="M37" s="80"/>
      <c r="N37" s="77"/>
      <c r="O37" s="103"/>
      <c r="P37" s="106">
        <f t="shared" si="2"/>
        <v>0</v>
      </c>
    </row>
    <row r="38" spans="1:17">
      <c r="B38" s="58">
        <f t="shared" si="0"/>
        <v>45865</v>
      </c>
      <c r="C38" s="77">
        <f t="shared" si="1"/>
        <v>0</v>
      </c>
      <c r="D38" s="78" t="s">
        <v>48</v>
      </c>
      <c r="E38" s="79"/>
      <c r="F38" s="80"/>
      <c r="G38" s="80"/>
      <c r="H38" s="80"/>
      <c r="I38" s="80"/>
      <c r="J38" s="80"/>
      <c r="K38" s="80"/>
      <c r="L38" s="80"/>
      <c r="M38" s="80"/>
      <c r="N38" s="77"/>
      <c r="O38" s="103"/>
      <c r="P38" s="106">
        <f t="shared" si="2"/>
        <v>0</v>
      </c>
    </row>
    <row r="39" spans="1:17">
      <c r="A39" s="39"/>
      <c r="B39" s="58">
        <f t="shared" si="0"/>
        <v>45866</v>
      </c>
      <c r="C39" s="77">
        <f t="shared" si="1"/>
        <v>0.5</v>
      </c>
      <c r="D39" s="78" t="s">
        <v>48</v>
      </c>
      <c r="E39" s="79">
        <v>6.25E-2</v>
      </c>
      <c r="F39" s="80">
        <v>6.25E-2</v>
      </c>
      <c r="G39" s="80">
        <v>0</v>
      </c>
      <c r="H39" s="80">
        <v>0</v>
      </c>
      <c r="I39" s="72">
        <v>0.16666666666666666</v>
      </c>
      <c r="J39" s="80">
        <v>0</v>
      </c>
      <c r="K39" s="80"/>
      <c r="L39" s="80"/>
      <c r="M39" s="72">
        <v>0.20833333333333334</v>
      </c>
      <c r="N39" s="77"/>
      <c r="O39" s="103"/>
      <c r="P39" s="106">
        <f t="shared" si="2"/>
        <v>0.17708333333333331</v>
      </c>
    </row>
    <row r="40" spans="1:17">
      <c r="B40" s="58">
        <f t="shared" si="0"/>
        <v>45867</v>
      </c>
      <c r="C40" s="77">
        <f t="shared" si="1"/>
        <v>0.375</v>
      </c>
      <c r="D40" s="78" t="s">
        <v>48</v>
      </c>
      <c r="E40" s="79"/>
      <c r="F40" s="80"/>
      <c r="G40" s="80"/>
      <c r="H40" s="80"/>
      <c r="I40" s="72">
        <v>0.16666666666666666</v>
      </c>
      <c r="J40" s="80"/>
      <c r="K40" s="80"/>
      <c r="L40" s="80"/>
      <c r="M40" s="72">
        <v>0.20833333333333334</v>
      </c>
      <c r="N40" s="77"/>
      <c r="O40" s="103">
        <v>0.20833333333333334</v>
      </c>
      <c r="P40" s="106">
        <f t="shared" si="2"/>
        <v>5.2083333333333315E-2</v>
      </c>
    </row>
    <row r="41" spans="1:17">
      <c r="B41" s="58">
        <f t="shared" si="0"/>
        <v>45868</v>
      </c>
      <c r="C41" s="77">
        <f t="shared" si="1"/>
        <v>0</v>
      </c>
      <c r="D41" s="78" t="s">
        <v>48</v>
      </c>
      <c r="E41" s="79"/>
      <c r="F41" s="80"/>
      <c r="G41" s="80"/>
      <c r="H41" s="80"/>
      <c r="I41" s="80"/>
      <c r="J41" s="80"/>
      <c r="K41" s="80"/>
      <c r="L41" s="80"/>
      <c r="M41" s="80"/>
      <c r="N41" s="77"/>
      <c r="O41" s="103"/>
      <c r="P41" s="106">
        <f t="shared" si="2"/>
        <v>0</v>
      </c>
    </row>
    <row r="42" spans="1:17" ht="19.5" thickBot="1">
      <c r="B42" s="59">
        <f>B41+1</f>
        <v>45869</v>
      </c>
      <c r="C42" s="77">
        <f t="shared" si="1"/>
        <v>0</v>
      </c>
      <c r="D42" s="85" t="s">
        <v>48</v>
      </c>
      <c r="E42" s="86"/>
      <c r="F42" s="87"/>
      <c r="G42" s="87"/>
      <c r="H42" s="87"/>
      <c r="I42" s="87"/>
      <c r="J42" s="87"/>
      <c r="K42" s="87"/>
      <c r="L42" s="87"/>
      <c r="M42" s="87"/>
      <c r="N42" s="88"/>
      <c r="O42" s="103"/>
      <c r="P42" s="106">
        <f t="shared" si="2"/>
        <v>0</v>
      </c>
    </row>
    <row r="43" spans="1:17" ht="19.5" thickBot="1">
      <c r="B43" s="52" t="s">
        <v>46</v>
      </c>
      <c r="C43" s="53"/>
      <c r="D43" s="54" t="s">
        <v>46</v>
      </c>
      <c r="E43" s="89">
        <f>SUM(E12:E42)</f>
        <v>0.125</v>
      </c>
      <c r="F43" s="90">
        <f>SUM(F12:F42)</f>
        <v>0.125</v>
      </c>
      <c r="G43" s="90">
        <f t="shared" ref="G43:N43" si="3">SUM(G12:G42)</f>
        <v>2.0833333333333332E-2</v>
      </c>
      <c r="H43" s="90">
        <f t="shared" si="3"/>
        <v>0.22916666666666669</v>
      </c>
      <c r="I43" s="90">
        <f t="shared" si="3"/>
        <v>0.66666666666666663</v>
      </c>
      <c r="J43" s="90">
        <f t="shared" si="3"/>
        <v>0</v>
      </c>
      <c r="K43" s="90">
        <f t="shared" si="3"/>
        <v>0</v>
      </c>
      <c r="L43" s="90">
        <f t="shared" si="3"/>
        <v>2.7777777777777776E-2</v>
      </c>
      <c r="M43" s="90">
        <f t="shared" si="3"/>
        <v>0.65972222222222232</v>
      </c>
      <c r="N43" s="90">
        <f t="shared" si="3"/>
        <v>0</v>
      </c>
      <c r="O43" s="103"/>
      <c r="P43" s="68">
        <f>SUM(P12:P42)</f>
        <v>0.5625</v>
      </c>
      <c r="Q43" s="69">
        <f>SUM(E43:N43)</f>
        <v>1.8541666666666665</v>
      </c>
    </row>
  </sheetData>
  <mergeCells count="1">
    <mergeCell ref="J3:O6"/>
  </mergeCells>
  <phoneticPr fontId="1"/>
  <conditionalFormatting sqref="B12:N42">
    <cfRule type="expression" dxfId="0" priority="2">
      <formula>WEEKDAY($B12:$B$42,2)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3"/>
  <sheetViews>
    <sheetView showGridLines="0" workbookViewId="0">
      <selection activeCell="A2" sqref="A2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4" t="s">
        <v>68</v>
      </c>
      <c r="B1" s="44"/>
    </row>
    <row r="2" spans="1:12" ht="91.5" customHeight="1">
      <c r="A2" s="44"/>
      <c r="B2" s="44"/>
    </row>
    <row r="5" spans="1:12">
      <c r="A5" s="14" t="s">
        <v>5</v>
      </c>
      <c r="B5" s="14" t="s">
        <v>72</v>
      </c>
      <c r="C5" s="14" t="s">
        <v>12</v>
      </c>
      <c r="D5" s="14" t="s">
        <v>13</v>
      </c>
      <c r="E5" s="14" t="s">
        <v>14</v>
      </c>
      <c r="F5" s="14" t="s">
        <v>15</v>
      </c>
      <c r="G5" s="14" t="s">
        <v>16</v>
      </c>
      <c r="H5" s="14" t="s">
        <v>17</v>
      </c>
      <c r="I5" s="14" t="s">
        <v>18</v>
      </c>
      <c r="J5" s="14" t="s">
        <v>19</v>
      </c>
      <c r="K5" s="14" t="s">
        <v>20</v>
      </c>
      <c r="L5" s="14" t="s">
        <v>21</v>
      </c>
    </row>
    <row r="6" spans="1:12">
      <c r="A6" s="1" t="s">
        <v>23</v>
      </c>
      <c r="B6" s="1"/>
      <c r="C6" s="1" t="s">
        <v>7</v>
      </c>
      <c r="D6" s="1" t="s">
        <v>8</v>
      </c>
      <c r="E6" s="1" t="s">
        <v>31</v>
      </c>
      <c r="F6" s="11" t="s">
        <v>83</v>
      </c>
      <c r="G6" s="1"/>
      <c r="H6" s="1"/>
      <c r="I6" s="1"/>
      <c r="J6" s="1"/>
      <c r="K6" s="1"/>
      <c r="L6" s="1"/>
    </row>
    <row r="7" spans="1:12">
      <c r="A7" s="1" t="s">
        <v>40</v>
      </c>
      <c r="B7" s="1"/>
      <c r="C7" s="1" t="s">
        <v>22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40</v>
      </c>
      <c r="B8" s="1"/>
      <c r="C8" s="1" t="s">
        <v>9</v>
      </c>
      <c r="D8" s="1" t="s">
        <v>69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6</v>
      </c>
      <c r="B19" s="14"/>
      <c r="C19" s="14" t="s">
        <v>12</v>
      </c>
      <c r="D19" s="14" t="s">
        <v>13</v>
      </c>
      <c r="E19" s="14" t="s">
        <v>14</v>
      </c>
      <c r="F19" s="14" t="s">
        <v>15</v>
      </c>
      <c r="G19" s="14" t="s">
        <v>16</v>
      </c>
      <c r="H19" s="14" t="s">
        <v>17</v>
      </c>
      <c r="I19" s="14" t="s">
        <v>18</v>
      </c>
      <c r="J19" s="14" t="s">
        <v>19</v>
      </c>
      <c r="K19" s="14" t="s">
        <v>20</v>
      </c>
      <c r="L19" s="14" t="s">
        <v>21</v>
      </c>
    </row>
    <row r="20" spans="1:12">
      <c r="A20" s="1" t="s">
        <v>42</v>
      </c>
      <c r="B20" s="1"/>
      <c r="C20" s="1" t="s">
        <v>7</v>
      </c>
      <c r="D20" s="1" t="s">
        <v>8</v>
      </c>
      <c r="E20" s="11" t="s">
        <v>39</v>
      </c>
      <c r="F20" s="1"/>
      <c r="G20" s="1"/>
      <c r="H20" s="1"/>
      <c r="I20" s="1"/>
      <c r="J20" s="1"/>
      <c r="K20" s="1"/>
      <c r="L20" s="1"/>
    </row>
    <row r="21" spans="1:12">
      <c r="A21" s="1" t="s">
        <v>44</v>
      </c>
      <c r="B21" s="1"/>
      <c r="C21" s="1" t="s">
        <v>45</v>
      </c>
      <c r="D21" s="1" t="s">
        <v>84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55" t="s">
        <v>63</v>
      </c>
      <c r="B1" s="55" t="s">
        <v>64</v>
      </c>
      <c r="C1" s="55" t="s">
        <v>65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66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27</v>
      </c>
      <c r="C30" s="13" t="s">
        <v>89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27</v>
      </c>
      <c r="D8" s="13" t="s">
        <v>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2025-08-30T11:14:38Z</dcterms:modified>
</cp:coreProperties>
</file>