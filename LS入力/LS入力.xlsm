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1A1578CF-0F59-4125-BEB2-E6B13E0ADDA8}" xr6:coauthVersionLast="47" xr6:coauthVersionMax="47" xr10:uidLastSave="{00000000-0000-0000-0000-000000000000}"/>
  <bookViews>
    <workbookView xWindow="38280" yWindow="-120" windowWidth="29040" windowHeight="15720" activeTab="1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マスタ!$A$5:$A$16</definedName>
    <definedName name="ClassList_区分">マスタ!$A$19:$A$32</definedName>
    <definedName name="KeyMatrix">マスタ!$C$5:$L$16</definedName>
    <definedName name="KeyMatrix_区分">マスタ!$C$19:$L$32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E9" i="5"/>
  <c r="E22" i="5"/>
  <c r="E10" i="5"/>
  <c r="E11" i="5"/>
  <c r="E12" i="5"/>
  <c r="E13" i="5"/>
  <c r="E14" i="5"/>
  <c r="E15" i="5"/>
  <c r="E16" i="5"/>
  <c r="E17" i="5"/>
  <c r="E8" i="5"/>
  <c r="C3" i="1"/>
  <c r="N8" i="5"/>
  <c r="L9" i="5"/>
  <c r="N9" i="5"/>
  <c r="N10" i="5"/>
  <c r="L11" i="5"/>
  <c r="M11" i="5"/>
  <c r="N11" i="5"/>
  <c r="K9" i="5"/>
  <c r="K11" i="5"/>
  <c r="K8" i="5"/>
  <c r="E18" i="5" l="1"/>
  <c r="H18" i="5" s="1"/>
  <c r="L41" i="4"/>
  <c r="M41" i="4"/>
  <c r="N41" i="4"/>
  <c r="D3" i="4" l="1"/>
  <c r="M9" i="5" s="1"/>
  <c r="D4" i="4"/>
  <c r="C35" i="4"/>
  <c r="C36" i="4"/>
  <c r="C37" i="4"/>
  <c r="C38" i="4"/>
  <c r="C33" i="4"/>
  <c r="K41" i="4"/>
  <c r="G41" i="4"/>
  <c r="H41" i="4"/>
  <c r="I41" i="4"/>
  <c r="J41" i="4"/>
  <c r="F41" i="4"/>
  <c r="E41" i="4" l="1"/>
  <c r="C4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9" i="4"/>
  <c r="C11" i="4"/>
  <c r="C10" i="4"/>
  <c r="E3" i="5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D3" i="1"/>
  <c r="C2" i="4" l="1"/>
  <c r="L8" i="5" s="1"/>
  <c r="O41" i="4"/>
  <c r="C7" i="4" l="1"/>
  <c r="D2" i="4"/>
  <c r="M8" i="5" s="1"/>
  <c r="D7" i="4" l="1"/>
  <c r="F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<sst xmlns="http://schemas.openxmlformats.org/spreadsheetml/2006/main" count="175" uniqueCount="95">
  <si>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</si>
  <si>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</si>
  <si>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</si>
  <si>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</si>
  <si>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</si>
  <si>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</si>
  <si>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</si>
  <si>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</si>
  <si>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</si>
  <si>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</si>
  <si>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</si>
  <si>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</si>
  <si>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</si>
  <si>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</si>
  <si>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</si>
  <si>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</si>
  <si>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</si>
  <si>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</si>
  <si>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</si>
  <si>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</si>
  <si>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</si>
  <si>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</si>
  <si>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</si>
  <si>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</si>
  <si>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</si>
  <si>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</si>
  <si>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不足時間</t>
    <rPh sb="0" eb="4">
      <t>フソクジカン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</si>
  <si>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</si>
  <si>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</si>
  <si>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</si>
  <si>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</si>
  <si>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</si>
  <si>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</si>
  <si>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</si>
  <si>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■参考データ</t>
    <rPh sb="1" eb="3">
      <t>サンコウ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</si>
  <si>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</si>
  <si>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</si>
  <si>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</si>
  <si>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</si>
  <si>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</si>
  <si>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</si>
  <si>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</si>
  <si>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</si>
  <si>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</si>
  <si>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</si>
  <si>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</si>
  <si>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</si>
  <si>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</si>
  <si>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</si>
  <si>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</si>
  <si>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</si>
  <si>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</si>
  <si>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</si>
  <si>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</si>
  <si>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</si>
  <si>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</si>
  <si>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</si>
  <si>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</si>
  <si>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</si>
  <si>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</si>
  <si>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</si>
  <si>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</si>
  <si>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目標時間</t>
    <rPh sb="0" eb="2">
      <t>モクヒョウ</t>
    </rPh>
    <rPh sb="2" eb="4">
      <t>ジカン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</si>
  <si>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</si>
  <si>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</si>
  <si>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</si>
  <si>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</si>
  <si>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</si>
  <si>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</si>
  <si>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メモ</t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</si>
  <si>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</si>
  <si>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</si>
  <si>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</si>
  <si>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</si>
  <si>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</si>
  <si>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</si>
  <si>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</si>
  <si>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</si>
  <si>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</si>
  <si>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</si>
  <si>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</si>
  <si>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</si>
  <si>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</si>
  <si>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</si>
  <si>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</si>
  <si>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</si>
  <si>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</si>
  <si>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</si>
  <si>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メッセージ</t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</si>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</sst>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2" formatCode="[hh]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8" fontId="0" fillId="0" borderId="1" xfId="0" applyNumberFormat="1" applyBorder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178" fontId="0" fillId="0" borderId="1" xfId="0" applyNumberFormat="1" applyBorder="1" applyAlignment="1">
      <alignment horizontal="right"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178" fontId="2" fillId="0" borderId="24" xfId="0" applyNumberFormat="1" applyFont="1" applyBorder="1">
      <alignment vertical="center"/>
    </xf>
    <xf numFmtId="178" fontId="2" fillId="0" borderId="25" xfId="0" applyNumberFormat="1" applyFont="1" applyBorder="1">
      <alignment vertical="center"/>
    </xf>
    <xf numFmtId="0" fontId="0" fillId="5" borderId="1" xfId="0" applyFill="1" applyBorder="1">
      <alignment vertical="center"/>
    </xf>
    <xf numFmtId="0" fontId="0" fillId="7" borderId="1" xfId="0" applyFill="1" applyBorder="1">
      <alignment vertical="center"/>
    </xf>
    <xf numFmtId="179" fontId="0" fillId="4" borderId="16" xfId="0" applyNumberFormat="1" applyFill="1" applyBorder="1" applyAlignment="1" applyProtection="1">
      <alignment vertical="center" wrapText="1"/>
      <protection locked="0"/>
    </xf>
    <xf numFmtId="179" fontId="0" fillId="4" borderId="5" xfId="0" applyNumberFormat="1" applyFill="1" applyBorder="1" applyAlignment="1" applyProtection="1">
      <alignment vertical="center" wrapText="1"/>
      <protection locked="0"/>
    </xf>
    <xf numFmtId="0" fontId="0" fillId="5" borderId="12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8" fontId="0" fillId="0" borderId="14" xfId="0" applyNumberFormat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19" xfId="0" applyNumberFormat="1" applyBorder="1" applyProtection="1">
      <alignment vertical="center"/>
      <protection locked="0"/>
    </xf>
    <xf numFmtId="178" fontId="0" fillId="0" borderId="8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8" fontId="0" fillId="0" borderId="16" xfId="0" applyNumberFormat="1" applyBorder="1" applyProtection="1">
      <alignment vertical="center"/>
      <protection locked="0"/>
    </xf>
    <xf numFmtId="178" fontId="0" fillId="0" borderId="29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Protection="1">
      <alignment vertical="center"/>
      <protection locked="0"/>
    </xf>
    <xf numFmtId="178" fontId="0" fillId="0" borderId="1" xfId="0" applyNumberFormat="1" applyBorder="1" applyAlignment="1" applyProtection="1">
      <alignment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Protection="1">
      <alignment vertical="center"/>
      <protection locked="0"/>
    </xf>
    <xf numFmtId="178" fontId="0" fillId="0" borderId="17" xfId="0" applyNumberFormat="1" applyBorder="1" applyProtection="1">
      <alignment vertical="center"/>
      <protection locked="0"/>
    </xf>
    <xf numFmtId="178" fontId="0" fillId="0" borderId="5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0" fontId="3" fillId="8" borderId="0" xfId="0" applyFont="1" applyFill="1">
      <alignment vertical="center"/>
    </xf>
    <xf numFmtId="0" fontId="3" fillId="9" borderId="0" xfId="0" applyFont="1" applyFill="1">
      <alignment vertical="center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182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2" fontId="0" fillId="6" borderId="1" xfId="0" applyNumberFormat="1" applyFill="1" applyBorder="1" applyProtection="1">
      <alignment vertical="center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7" xfId="0" applyBorder="1" applyProtection="1">
      <alignment vertical="center"/>
      <protection locked="0"/>
    </xf>
    <xf numFmtId="182" fontId="0" fillId="6" borderId="9" xfId="0" applyNumberFormat="1" applyFill="1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0" fontId="6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H12" sqref="H12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60</v>
      </c>
    </row>
    <row r="2" spans="1:9" ht="49.5" customHeight="1" thickBot="1">
      <c r="B2" s="98" t="s">
        <v>1</v>
      </c>
      <c r="C2" s="98"/>
      <c r="D2" s="98"/>
      <c r="E2" s="98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45860</v>
      </c>
      <c r="D3" s="2" t="str">
        <f ca="1">TEXT(C3,"aaaa")</f>
        <v>火曜日</v>
      </c>
      <c r="E3" s="24"/>
    </row>
    <row r="4" spans="1:9" ht="19.5" thickBot="1">
      <c r="B4" s="5" t="s">
        <v>0</v>
      </c>
      <c r="C4" s="4">
        <v>45860</v>
      </c>
      <c r="D4" s="6" t="s">
        <v>2</v>
      </c>
    </row>
    <row r="6" spans="1:9">
      <c r="B6" s="3" t="s">
        <v>63</v>
      </c>
      <c r="C6" s="3"/>
      <c r="D6" s="3"/>
    </row>
    <row r="7" spans="1:9">
      <c r="A7" s="15" t="s">
        <v>4</v>
      </c>
      <c r="B7" s="15" t="s">
        <v>75</v>
      </c>
      <c r="C7" s="15" t="s">
        <v>29</v>
      </c>
      <c r="D7" s="15" t="s">
        <v>30</v>
      </c>
      <c r="E7" s="15" t="s">
        <v>31</v>
      </c>
      <c r="F7" s="17" t="s">
        <v>85</v>
      </c>
      <c r="G7" s="20"/>
      <c r="H7" s="17" t="s">
        <v>86</v>
      </c>
      <c r="I7" s="18"/>
    </row>
    <row r="8" spans="1:9">
      <c r="A8" s="10">
        <v>1</v>
      </c>
      <c r="B8" s="10"/>
      <c r="C8" s="10"/>
      <c r="D8" s="11"/>
      <c r="E8" s="11"/>
      <c r="F8" s="99"/>
      <c r="G8" s="19"/>
      <c r="H8" s="99"/>
      <c r="I8" s="19"/>
    </row>
    <row r="9" spans="1:9">
      <c r="A9" s="10">
        <v>2</v>
      </c>
      <c r="B9" s="10"/>
      <c r="C9" s="10"/>
      <c r="D9" s="11"/>
      <c r="E9" s="11"/>
      <c r="F9" s="84"/>
      <c r="G9" s="19"/>
      <c r="H9" s="84"/>
      <c r="I9" s="19"/>
    </row>
    <row r="10" spans="1:9">
      <c r="A10" s="10">
        <v>3</v>
      </c>
      <c r="B10" s="10"/>
      <c r="C10" s="10"/>
      <c r="D10" s="11"/>
      <c r="E10" s="11"/>
      <c r="F10" s="84"/>
      <c r="G10" s="19"/>
      <c r="H10" s="84"/>
      <c r="I10" s="19"/>
    </row>
    <row r="11" spans="1:9">
      <c r="A11" s="10">
        <v>4</v>
      </c>
      <c r="B11" s="10"/>
      <c r="C11" s="10"/>
      <c r="D11" s="11"/>
      <c r="E11" s="11"/>
      <c r="F11" s="84"/>
      <c r="G11" s="19"/>
      <c r="H11" s="84"/>
      <c r="I11" s="19"/>
    </row>
    <row r="12" spans="1:9">
      <c r="A12" s="10">
        <v>5</v>
      </c>
      <c r="B12" s="10"/>
      <c r="C12" s="10"/>
      <c r="D12" s="11"/>
      <c r="E12" s="11"/>
      <c r="F12" s="84"/>
      <c r="G12" s="19"/>
      <c r="H12" s="84"/>
      <c r="I12" s="19"/>
    </row>
    <row r="13" spans="1:9">
      <c r="A13" s="10">
        <v>6</v>
      </c>
      <c r="B13" s="10"/>
      <c r="C13" s="10"/>
      <c r="D13" s="11"/>
      <c r="E13" s="22"/>
      <c r="F13" s="84"/>
      <c r="G13" s="19"/>
      <c r="H13" s="84"/>
      <c r="I13" s="19"/>
    </row>
    <row r="14" spans="1:9">
      <c r="A14" s="10">
        <v>7</v>
      </c>
      <c r="B14" s="10"/>
      <c r="C14" s="10"/>
      <c r="D14" s="11"/>
      <c r="E14" s="22"/>
      <c r="F14" s="84"/>
      <c r="G14" s="19"/>
      <c r="H14" s="84"/>
      <c r="I14" s="19"/>
    </row>
    <row r="15" spans="1:9">
      <c r="A15" s="10">
        <v>8</v>
      </c>
      <c r="B15" s="10"/>
      <c r="C15" s="10"/>
      <c r="D15" s="11"/>
      <c r="E15" s="22"/>
      <c r="F15" s="84"/>
      <c r="G15" s="19"/>
      <c r="H15" s="84"/>
      <c r="I15" s="19"/>
    </row>
    <row r="16" spans="1:9">
      <c r="A16" s="10">
        <v>9</v>
      </c>
      <c r="B16" s="10"/>
      <c r="C16" s="10"/>
      <c r="D16" s="10"/>
      <c r="E16" s="22"/>
      <c r="F16" s="84"/>
      <c r="G16" s="19"/>
      <c r="H16" s="84"/>
      <c r="I16" s="19"/>
    </row>
    <row r="17" spans="1:9">
      <c r="A17" s="10">
        <v>10</v>
      </c>
      <c r="B17" s="10"/>
      <c r="C17" s="10"/>
      <c r="D17" s="10"/>
      <c r="E17" s="22"/>
      <c r="F17" s="84"/>
      <c r="G17" s="19"/>
      <c r="H17" s="84"/>
      <c r="I17" s="19"/>
    </row>
    <row r="18" spans="1:9">
      <c r="A18" s="10">
        <v>11</v>
      </c>
      <c r="B18" s="10"/>
      <c r="C18" s="10"/>
      <c r="D18" s="10"/>
      <c r="E18" s="22"/>
      <c r="F18" s="84"/>
      <c r="G18" s="19"/>
      <c r="H18" s="84"/>
      <c r="I18" s="19"/>
    </row>
    <row r="19" spans="1:9">
      <c r="A19" s="10">
        <v>12</v>
      </c>
      <c r="B19" s="10"/>
      <c r="C19" s="10"/>
      <c r="D19" s="10"/>
      <c r="E19" s="22"/>
      <c r="F19" s="84"/>
      <c r="G19" s="19"/>
      <c r="H19" s="84"/>
      <c r="I19" s="19"/>
    </row>
    <row r="20" spans="1:9">
      <c r="A20" s="10">
        <v>13</v>
      </c>
      <c r="B20" s="10"/>
      <c r="C20" s="10"/>
      <c r="D20" s="10"/>
      <c r="E20" s="22"/>
      <c r="F20" s="84"/>
      <c r="G20" s="19"/>
      <c r="H20" s="84"/>
      <c r="I20" s="19"/>
    </row>
    <row r="21" spans="1:9">
      <c r="A21" s="10">
        <v>14</v>
      </c>
      <c r="B21" s="10"/>
      <c r="C21" s="10"/>
      <c r="D21" s="10"/>
      <c r="E21" s="22"/>
      <c r="F21" s="84"/>
      <c r="G21" s="19"/>
      <c r="H21" s="84"/>
      <c r="I21" s="19"/>
    </row>
    <row r="22" spans="1:9">
      <c r="A22" s="10">
        <v>15</v>
      </c>
      <c r="B22" s="10"/>
      <c r="C22" s="10"/>
      <c r="D22" s="10"/>
      <c r="E22" s="22"/>
      <c r="F22" s="84"/>
      <c r="G22" s="19"/>
      <c r="H22" s="84"/>
      <c r="I22" s="19"/>
    </row>
    <row r="24" spans="1:9">
      <c r="E24" s="2">
        <v>57</v>
      </c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O52"/>
  <sheetViews>
    <sheetView showGridLines="0" tabSelected="1" topLeftCell="C1" zoomScale="205" zoomScaleNormal="205" workbookViewId="0">
      <selection activeCell="H3" sqref="H3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  <col min="10" max="10" width="2.75" customWidth="1"/>
    <col min="11" max="11" width="17.125" customWidth="1"/>
    <col min="13" max="13" width="11.125" customWidth="1"/>
    <col min="15" max="15" width="11.5" customWidth="1"/>
  </cols>
  <sheetData>
    <row r="1" spans="1:15" s="46" customFormat="1" ht="25.5">
      <c r="A1" s="46" t="s">
        <v>61</v>
      </c>
      <c r="I1" s="102"/>
      <c r="J1" s="102"/>
      <c r="K1" s="102"/>
      <c r="L1" s="102"/>
      <c r="M1" s="102"/>
      <c r="N1" s="102"/>
    </row>
    <row r="2" spans="1:15" ht="9.75" customHeight="1" thickBot="1">
      <c r="I2" s="102"/>
      <c r="J2" s="102"/>
      <c r="K2" s="102"/>
      <c r="L2" s="102"/>
      <c r="M2" s="102"/>
      <c r="N2" s="102"/>
    </row>
    <row r="3" spans="1:15">
      <c r="C3" s="7" t="s">
        <v>36</v>
      </c>
      <c r="D3" s="8">
        <f ca="1">IF($D$4&lt;&gt;"",$D$4,WORKDAY(TODAY(),-1))</f>
        <v>45860</v>
      </c>
      <c r="E3" s="2" t="str">
        <f ca="1">TEXT(D3,"aaaa")</f>
        <v>火曜日</v>
      </c>
    </row>
    <row r="4" spans="1:15" ht="19.5" thickBot="1">
      <c r="C4" s="5" t="s">
        <v>0</v>
      </c>
      <c r="D4" s="48">
        <v>45860</v>
      </c>
      <c r="E4" s="6" t="s">
        <v>40</v>
      </c>
      <c r="H4" s="16"/>
      <c r="I4" s="16"/>
      <c r="J4" s="16"/>
    </row>
    <row r="5" spans="1:15">
      <c r="C5" s="6"/>
      <c r="D5" s="21"/>
      <c r="H5" s="16"/>
      <c r="I5" s="16"/>
      <c r="J5" s="16"/>
    </row>
    <row r="6" spans="1:15" ht="19.5" thickBot="1">
      <c r="B6" s="45" t="s">
        <v>35</v>
      </c>
      <c r="E6" s="2"/>
      <c r="F6" s="2" t="s">
        <v>71</v>
      </c>
      <c r="J6" t="s">
        <v>34</v>
      </c>
    </row>
    <row r="7" spans="1:15">
      <c r="B7" s="42" t="s">
        <v>27</v>
      </c>
      <c r="C7" s="64" t="s">
        <v>24</v>
      </c>
      <c r="D7" s="64" t="s">
        <v>92</v>
      </c>
      <c r="E7" s="27" t="s">
        <v>38</v>
      </c>
      <c r="F7" s="26" t="s">
        <v>39</v>
      </c>
      <c r="G7" s="33" t="s">
        <v>33</v>
      </c>
      <c r="H7" s="34" t="s">
        <v>93</v>
      </c>
      <c r="J7" s="65" t="s">
        <v>27</v>
      </c>
      <c r="K7" s="66" t="s">
        <v>24</v>
      </c>
      <c r="L7" s="66" t="s">
        <v>49</v>
      </c>
      <c r="M7" s="66" t="s">
        <v>62</v>
      </c>
      <c r="N7" s="66" t="s">
        <v>26</v>
      </c>
      <c r="O7" s="60" t="s">
        <v>69</v>
      </c>
    </row>
    <row r="8" spans="1:15">
      <c r="B8" s="43">
        <v>1</v>
      </c>
      <c r="C8" s="10" t="s">
        <v>23</v>
      </c>
      <c r="D8" s="10" t="s">
        <v>44</v>
      </c>
      <c r="E8" s="23">
        <f>IF(OR(C8="", D8=""), 0, IF(F8&lt;&gt;"",TIME(INT(F8/100),MOD(F8,100),0),SUMPRODUCT((データ取得!$F$8:$F$22=C8)*(データ取得!$H$8:$H$22=D8),TIME(INT(データ取得!$E$8:$E$22/100),MOD(データ取得!$E$8:$E$22,100),0))))</f>
        <v>2.7777777777777776E-2</v>
      </c>
      <c r="F8" s="62">
        <v>40</v>
      </c>
      <c r="G8" s="10"/>
      <c r="H8" s="35"/>
      <c r="J8" s="10">
        <v>1</v>
      </c>
      <c r="K8" s="10" t="str">
        <f>IF(月次データ!B2 = "", "",月次データ!B2 )</f>
        <v>E0017</v>
      </c>
      <c r="L8" s="22">
        <f>IF(月次データ!C2 = "", "",月次データ!C2 )</f>
        <v>0.39583333333333331</v>
      </c>
      <c r="M8" s="10">
        <f>IF(月次データ!D2 = "", "",月次データ!D2 )</f>
        <v>570</v>
      </c>
      <c r="N8" s="10">
        <f>IF(月次データ!E2 = "", "",月次データ!E2 )</f>
        <v>7406</v>
      </c>
      <c r="O8" s="10"/>
    </row>
    <row r="9" spans="1:15">
      <c r="B9" s="43">
        <v>2</v>
      </c>
      <c r="C9" s="10" t="s">
        <v>23</v>
      </c>
      <c r="D9" s="10" t="s">
        <v>46</v>
      </c>
      <c r="E9" s="23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62"/>
      <c r="G9" s="10"/>
      <c r="H9" s="35"/>
      <c r="J9" s="10">
        <v>2</v>
      </c>
      <c r="K9" s="10" t="str">
        <f>IF(月次データ!B3 = "", "",月次データ!B3 )</f>
        <v>作番外</v>
      </c>
      <c r="L9" s="22">
        <f>IF(月次データ!C3 = "", "",月次データ!C3 )</f>
        <v>0.16666666666666666</v>
      </c>
      <c r="M9" s="10">
        <f>IF(月次データ!D3 = "", "",月次データ!D3 )</f>
        <v>240</v>
      </c>
      <c r="N9" s="10" t="str">
        <f>IF(月次データ!E3 = "", "",月次データ!E3 )</f>
        <v>-</v>
      </c>
      <c r="O9" s="10"/>
    </row>
    <row r="10" spans="1:15">
      <c r="B10" s="43">
        <v>3</v>
      </c>
      <c r="C10" s="10" t="s">
        <v>23</v>
      </c>
      <c r="D10" s="10" t="s">
        <v>51</v>
      </c>
      <c r="E10" s="23">
        <f>IF(OR(C10="", D10=""), 0, IF(F10&lt;&gt;"",TIME(INT(F10/100),MOD(F10,100),0),SUMPRODUCT((データ取得!$F$8:$F$22=C10)*(データ取得!$H$8:$H$22=D10),TIME(INT(データ取得!$E$8:$E$22/100),MOD(データ取得!$E$8:$E$22,100),0))))</f>
        <v>3.4722222222222224E-2</v>
      </c>
      <c r="F10" s="62">
        <v>50</v>
      </c>
      <c r="G10" s="10"/>
      <c r="H10" s="35"/>
      <c r="J10" s="10">
        <v>3</v>
      </c>
      <c r="K10" s="10"/>
      <c r="L10" s="22"/>
      <c r="M10" s="10"/>
      <c r="N10" s="10" t="str">
        <f>IF(月次データ!E4 = "", "",月次データ!E4 )</f>
        <v/>
      </c>
      <c r="O10" s="10"/>
    </row>
    <row r="11" spans="1:15">
      <c r="B11" s="43">
        <v>4</v>
      </c>
      <c r="C11" s="10" t="s">
        <v>37</v>
      </c>
      <c r="D11" s="10" t="s">
        <v>52</v>
      </c>
      <c r="E11" s="2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62"/>
      <c r="G11" s="10"/>
      <c r="H11" s="35"/>
      <c r="J11" s="10">
        <v>4</v>
      </c>
      <c r="K11" s="10" t="str">
        <f>IF(月次データ!B5 = "", "",月次データ!B5 )</f>
        <v/>
      </c>
      <c r="L11" s="22" t="str">
        <f>IF(月次データ!C5 = "", "",月次データ!C5 )</f>
        <v/>
      </c>
      <c r="M11" s="10" t="str">
        <f>IF(月次データ!D5 = "", "",月次データ!D5 )</f>
        <v/>
      </c>
      <c r="N11" s="10" t="str">
        <f>IF(月次データ!E5 = "", "",月次データ!E5 )</f>
        <v/>
      </c>
      <c r="O11" s="10"/>
    </row>
    <row r="12" spans="1:15">
      <c r="B12" s="43">
        <v>5</v>
      </c>
      <c r="C12" s="10" t="s">
        <v>37</v>
      </c>
      <c r="D12" s="10" t="s">
        <v>54</v>
      </c>
      <c r="E12" s="23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62"/>
      <c r="G12" s="10"/>
      <c r="H12" s="35"/>
      <c r="J12" s="2"/>
      <c r="K12" s="2"/>
      <c r="L12" s="2"/>
      <c r="M12" s="2"/>
      <c r="N12" s="2"/>
      <c r="O12" s="2"/>
    </row>
    <row r="13" spans="1:15">
      <c r="B13" s="43">
        <v>6</v>
      </c>
      <c r="C13" s="10" t="s">
        <v>37</v>
      </c>
      <c r="D13" s="10" t="s">
        <v>53</v>
      </c>
      <c r="E13" s="23">
        <f>IF(OR(C13="", D13=""), 0, IF(F13&lt;&gt;"",TIME(INT(F13/100),MOD(F13,100),0),SUMPRODUCT((データ取得!$F$8:$F$22=C13)*(データ取得!$H$8:$H$22=D13),TIME(INT(データ取得!$E$8:$E$22/100),MOD(データ取得!$E$8:$E$22,100),0))))</f>
        <v>0.25</v>
      </c>
      <c r="F13" s="62">
        <v>600</v>
      </c>
      <c r="G13" s="10"/>
      <c r="H13" s="35"/>
      <c r="J13" s="2"/>
      <c r="K13" s="2"/>
      <c r="L13" s="2"/>
      <c r="M13" s="2"/>
      <c r="N13" s="2"/>
      <c r="O13" s="2"/>
    </row>
    <row r="14" spans="1:15">
      <c r="B14" s="43">
        <v>7</v>
      </c>
      <c r="C14" s="10" t="s">
        <v>79</v>
      </c>
      <c r="D14" s="10" t="s">
        <v>81</v>
      </c>
      <c r="E14" s="2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62"/>
      <c r="G14" s="10"/>
      <c r="H14" s="35"/>
      <c r="J14" s="2"/>
      <c r="K14" s="2"/>
      <c r="L14" s="2"/>
      <c r="M14" s="2"/>
      <c r="N14" s="2"/>
      <c r="O14" s="2"/>
    </row>
    <row r="15" spans="1:15">
      <c r="B15" s="43">
        <v>8</v>
      </c>
      <c r="C15" s="10" t="s">
        <v>23</v>
      </c>
      <c r="D15" s="10">
        <v>44447777</v>
      </c>
      <c r="E15" s="2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62"/>
      <c r="G15" s="10"/>
      <c r="H15" s="35"/>
      <c r="J15" s="2"/>
      <c r="K15" s="2"/>
      <c r="L15" s="2"/>
      <c r="M15" s="2"/>
      <c r="N15" s="2"/>
      <c r="O15" s="2"/>
    </row>
    <row r="16" spans="1:15">
      <c r="B16" s="43">
        <v>9</v>
      </c>
      <c r="C16" s="10" t="s">
        <v>84</v>
      </c>
      <c r="D16" s="10">
        <v>456</v>
      </c>
      <c r="E16" s="2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62"/>
      <c r="G16" s="10"/>
      <c r="H16" s="35"/>
      <c r="J16" s="2"/>
      <c r="K16" s="2"/>
      <c r="L16" s="2"/>
      <c r="M16" s="2"/>
      <c r="N16" s="2"/>
      <c r="O16" s="2"/>
    </row>
    <row r="17" spans="2:15" ht="19.5" thickBot="1">
      <c r="B17" s="44">
        <v>10</v>
      </c>
      <c r="C17" s="10" t="s">
        <v>23</v>
      </c>
      <c r="D17" s="10">
        <v>456</v>
      </c>
      <c r="E17" s="23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63"/>
      <c r="G17" s="36"/>
      <c r="H17" s="37"/>
      <c r="J17" s="2"/>
      <c r="K17" s="2"/>
      <c r="L17" s="2"/>
      <c r="M17" s="2"/>
      <c r="N17" s="2"/>
      <c r="O17" s="2"/>
    </row>
    <row r="18" spans="2:15">
      <c r="D18" s="16" t="s">
        <v>90</v>
      </c>
      <c r="E18" s="41">
        <f>SUM(E8:E17)</f>
        <v>0.3125</v>
      </c>
      <c r="G18" s="16" t="s">
        <v>64</v>
      </c>
      <c r="H18" s="96">
        <f>HOUR(E18)*60 + MINUTE(E18)</f>
        <v>450</v>
      </c>
      <c r="J18" s="2"/>
      <c r="K18" s="2"/>
      <c r="L18" s="2"/>
      <c r="M18" s="2"/>
      <c r="N18" s="2"/>
      <c r="O18" s="2"/>
    </row>
    <row r="19" spans="2:15">
      <c r="D19" s="49" t="s">
        <v>91</v>
      </c>
      <c r="E19" s="1"/>
      <c r="J19" s="2"/>
      <c r="K19" s="2"/>
      <c r="L19" s="2"/>
      <c r="M19" s="2"/>
      <c r="N19" s="2"/>
      <c r="O19" s="2"/>
    </row>
    <row r="20" spans="2:15" ht="19.5" thickBot="1">
      <c r="J20" s="2"/>
      <c r="K20" s="2"/>
      <c r="L20" s="2"/>
      <c r="M20" s="2"/>
      <c r="N20" s="2"/>
      <c r="O20" s="2"/>
    </row>
    <row r="21" spans="2:15">
      <c r="E21" s="86" t="s">
        <v>74</v>
      </c>
      <c r="J21" s="2"/>
      <c r="K21" s="2"/>
      <c r="L21" s="2"/>
      <c r="M21" s="2"/>
      <c r="N21" s="2"/>
      <c r="O21" s="2"/>
    </row>
    <row r="22" spans="2:15" ht="19.5" thickBot="1">
      <c r="E22" s="85">
        <f>IF(F22&lt;&gt;"",TIME(INT(F22/100),MOD(F22,100),0),SUMPRODUCT(
   (データ取得!$F$8:$F$22=C22)*(データ取得!$H$8:$H$22=D22),
   TIME(INT(データ取得!$E$8:$E$22/100), MOD(データ取得!$E$8:$E$22,100), 0)
))</f>
        <v>0</v>
      </c>
      <c r="J22" s="2"/>
      <c r="K22" s="2"/>
      <c r="L22" s="2"/>
      <c r="M22" s="2"/>
      <c r="N22" s="2"/>
      <c r="O22" s="2"/>
    </row>
    <row r="23" spans="2:15">
      <c r="J23" s="2"/>
      <c r="K23" s="2"/>
      <c r="L23" s="2"/>
      <c r="M23" s="2"/>
      <c r="N23" s="2"/>
      <c r="O23" s="2"/>
    </row>
    <row r="24" spans="2:15">
      <c r="J24" s="2"/>
      <c r="K24" s="2"/>
      <c r="L24" s="2"/>
      <c r="M24" s="2"/>
      <c r="N24" s="2"/>
      <c r="O24" s="2"/>
    </row>
    <row r="25" spans="2:15">
      <c r="I25" s="2"/>
      <c r="J25" s="2"/>
      <c r="K25" s="2"/>
      <c r="L25" s="2"/>
      <c r="M25" s="2"/>
      <c r="N25" s="2"/>
    </row>
    <row r="26" spans="2:15">
      <c r="I26" s="2"/>
      <c r="J26" s="2"/>
      <c r="K26" s="2"/>
      <c r="L26" s="2"/>
      <c r="M26" s="2"/>
      <c r="N26" s="2"/>
    </row>
    <row r="51" spans="5:5">
      <c r="E51" t="s">
        <v>65</v>
      </c>
    </row>
    <row r="52" spans="5:5">
      <c r="E52" s="23">
        <v>0</v>
      </c>
    </row>
  </sheetData>
  <mergeCells count="1">
    <mergeCell ref="I1:N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P41"/>
  <sheetViews>
    <sheetView showGridLines="0" workbookViewId="0">
      <selection activeCell="I1" sqref="I1"/>
    </sheetView>
  </sheetViews>
  <sheetFormatPr defaultRowHeight="18.75"/>
  <cols>
    <col min="1" max="1" width="10" customWidth="1"/>
    <col min="2" max="2" width="15.375" customWidth="1"/>
    <col min="3" max="3" width="11.25" customWidth="1"/>
    <col min="4" max="4" width="7.125" customWidth="1"/>
    <col min="5" max="16" width="12.625" customWidth="1"/>
  </cols>
  <sheetData>
    <row r="1" spans="1:16">
      <c r="A1" s="45"/>
      <c r="B1" s="14" t="s">
        <v>24</v>
      </c>
      <c r="C1" s="14" t="s">
        <v>56</v>
      </c>
      <c r="D1" s="50" t="s">
        <v>57</v>
      </c>
      <c r="E1" s="50" t="s">
        <v>58</v>
      </c>
      <c r="F1" s="50" t="s">
        <v>59</v>
      </c>
      <c r="I1" s="12"/>
    </row>
    <row r="2" spans="1:16">
      <c r="B2" s="1" t="s">
        <v>23</v>
      </c>
      <c r="C2" s="47">
        <f>SUMIF(E8:N8, B2, E41:N41)</f>
        <v>0.39583333333333331</v>
      </c>
      <c r="D2" s="49">
        <f>HOUR(C2)*60 + MINUTE(C2)</f>
        <v>570</v>
      </c>
      <c r="E2" s="1">
        <v>7406</v>
      </c>
      <c r="F2" s="1">
        <f>E2-D2</f>
        <v>6836</v>
      </c>
    </row>
    <row r="3" spans="1:16">
      <c r="B3" s="1" t="s">
        <v>42</v>
      </c>
      <c r="C3" s="47">
        <v>0.16666666666666666</v>
      </c>
      <c r="D3" s="49">
        <f>HOUR(C3)*60 + MINUTE(C3)</f>
        <v>240</v>
      </c>
      <c r="E3" s="1" t="s">
        <v>50</v>
      </c>
      <c r="F3" s="1" t="s">
        <v>50</v>
      </c>
    </row>
    <row r="4" spans="1:16">
      <c r="B4" s="1"/>
      <c r="C4" s="47">
        <v>0</v>
      </c>
      <c r="D4" s="49">
        <f>HOUR(C4)*60 + MINUTE(C4)</f>
        <v>0</v>
      </c>
      <c r="E4" s="1"/>
      <c r="F4" s="1"/>
    </row>
    <row r="5" spans="1:16">
      <c r="B5" s="1"/>
      <c r="C5" s="47"/>
      <c r="D5" s="51"/>
      <c r="E5" s="1"/>
      <c r="F5" s="1"/>
    </row>
    <row r="6" spans="1:16">
      <c r="B6" s="1"/>
      <c r="C6" s="47"/>
      <c r="D6" s="51"/>
      <c r="E6" s="1"/>
      <c r="F6" s="1"/>
    </row>
    <row r="7" spans="1:16" ht="20.25" thickBot="1">
      <c r="C7" s="53">
        <f>SUM(C2:C6)</f>
        <v>0.5625</v>
      </c>
      <c r="D7" s="54">
        <f>SUM(D2:D6)</f>
        <v>810</v>
      </c>
      <c r="E7" s="52"/>
      <c r="F7" s="52"/>
      <c r="G7" s="52"/>
      <c r="H7" s="52"/>
      <c r="I7" s="52"/>
      <c r="J7" s="52"/>
      <c r="K7" s="52"/>
      <c r="L7" s="52"/>
      <c r="M7" s="52"/>
      <c r="N7" s="52"/>
    </row>
    <row r="8" spans="1:16">
      <c r="A8" s="45"/>
      <c r="B8" s="25" t="s">
        <v>49</v>
      </c>
      <c r="C8" s="31"/>
      <c r="D8" s="38" t="s">
        <v>24</v>
      </c>
      <c r="E8" s="83" t="s">
        <v>23</v>
      </c>
      <c r="F8" s="64" t="s">
        <v>23</v>
      </c>
      <c r="G8" s="64" t="s">
        <v>23</v>
      </c>
      <c r="H8" s="64" t="s">
        <v>37</v>
      </c>
      <c r="I8" s="64" t="s">
        <v>42</v>
      </c>
      <c r="J8" s="64" t="s">
        <v>37</v>
      </c>
      <c r="K8" s="64" t="s">
        <v>37</v>
      </c>
      <c r="L8" s="64"/>
      <c r="M8" s="88" t="s">
        <v>83</v>
      </c>
      <c r="N8" s="90" t="s">
        <v>78</v>
      </c>
      <c r="O8" s="92"/>
      <c r="P8" s="92"/>
    </row>
    <row r="9" spans="1:16" ht="19.5" thickBot="1">
      <c r="A9" s="45" t="s">
        <v>88</v>
      </c>
      <c r="B9" s="28" t="s">
        <v>25</v>
      </c>
      <c r="C9" s="30" t="s">
        <v>48</v>
      </c>
      <c r="D9" s="39" t="s">
        <v>92</v>
      </c>
      <c r="E9" s="32" t="s">
        <v>43</v>
      </c>
      <c r="F9" s="29" t="s">
        <v>45</v>
      </c>
      <c r="G9" s="87" t="s">
        <v>80</v>
      </c>
      <c r="H9" s="29" t="s">
        <v>52</v>
      </c>
      <c r="I9" s="29" t="s">
        <v>54</v>
      </c>
      <c r="J9" s="29" t="s">
        <v>53</v>
      </c>
      <c r="K9" s="29" t="s">
        <v>55</v>
      </c>
      <c r="L9" s="87" t="s">
        <v>77</v>
      </c>
      <c r="M9" s="87" t="s">
        <v>82</v>
      </c>
      <c r="N9" s="89" t="s">
        <v>80</v>
      </c>
      <c r="O9" s="91"/>
      <c r="P9" s="91"/>
    </row>
    <row r="10" spans="1:16">
      <c r="B10" s="67">
        <v>45839</v>
      </c>
      <c r="C10" s="68">
        <f>SUM(E10:N10)</f>
        <v>0</v>
      </c>
      <c r="D10" s="69" t="s">
        <v>50</v>
      </c>
      <c r="E10" s="70"/>
      <c r="F10" s="71"/>
      <c r="G10" s="71"/>
      <c r="H10" s="71"/>
      <c r="I10" s="71"/>
      <c r="J10" s="71"/>
      <c r="K10" s="71"/>
      <c r="L10" s="71"/>
      <c r="M10" s="71"/>
      <c r="N10" s="68"/>
      <c r="O10" s="93"/>
      <c r="P10" s="95"/>
    </row>
    <row r="11" spans="1:16">
      <c r="B11" s="72">
        <f>B10+1</f>
        <v>45840</v>
      </c>
      <c r="C11" s="73">
        <f>SUM(E11:N11)</f>
        <v>0</v>
      </c>
      <c r="D11" s="74" t="s">
        <v>50</v>
      </c>
      <c r="E11" s="75"/>
      <c r="F11" s="22"/>
      <c r="G11" s="22"/>
      <c r="H11" s="22"/>
      <c r="I11" s="22"/>
      <c r="J11" s="22"/>
      <c r="K11" s="22"/>
      <c r="L11" s="22"/>
      <c r="M11" s="22"/>
      <c r="N11" s="73"/>
      <c r="O11" s="93"/>
      <c r="P11" s="95"/>
    </row>
    <row r="12" spans="1:16">
      <c r="B12" s="72">
        <f t="shared" ref="B12:B39" si="0">B11+1</f>
        <v>45841</v>
      </c>
      <c r="C12" s="73">
        <f t="shared" ref="C12:C40" si="1">SUM(E12:N12)</f>
        <v>0</v>
      </c>
      <c r="D12" s="74" t="s">
        <v>50</v>
      </c>
      <c r="E12" s="75"/>
      <c r="F12" s="22"/>
      <c r="G12" s="22"/>
      <c r="H12" s="22"/>
      <c r="I12" s="22"/>
      <c r="J12" s="22"/>
      <c r="K12" s="22"/>
      <c r="L12" s="22"/>
      <c r="M12" s="22"/>
      <c r="N12" s="73"/>
      <c r="O12" s="93"/>
      <c r="P12" s="95"/>
    </row>
    <row r="13" spans="1:16">
      <c r="B13" s="72">
        <f t="shared" si="0"/>
        <v>45842</v>
      </c>
      <c r="C13" s="73">
        <f t="shared" si="1"/>
        <v>0</v>
      </c>
      <c r="D13" s="74" t="s">
        <v>50</v>
      </c>
      <c r="E13" s="75"/>
      <c r="F13" s="22"/>
      <c r="G13" s="22"/>
      <c r="H13" s="22"/>
      <c r="I13" s="22"/>
      <c r="J13" s="22"/>
      <c r="K13" s="22"/>
      <c r="L13" s="22"/>
      <c r="M13" s="22"/>
      <c r="N13" s="73"/>
      <c r="O13" s="93"/>
      <c r="P13" s="95"/>
    </row>
    <row r="14" spans="1:16">
      <c r="B14" s="72">
        <f t="shared" si="0"/>
        <v>45843</v>
      </c>
      <c r="C14" s="73">
        <f t="shared" si="1"/>
        <v>0</v>
      </c>
      <c r="D14" s="74" t="s">
        <v>50</v>
      </c>
      <c r="E14" s="75"/>
      <c r="F14" s="22"/>
      <c r="G14" s="22"/>
      <c r="H14" s="22"/>
      <c r="I14" s="22"/>
      <c r="J14" s="22"/>
      <c r="K14" s="22"/>
      <c r="L14" s="22"/>
      <c r="M14" s="22"/>
      <c r="N14" s="73"/>
      <c r="O14" s="93"/>
      <c r="P14" s="95"/>
    </row>
    <row r="15" spans="1:16">
      <c r="B15" s="72">
        <f t="shared" si="0"/>
        <v>45844</v>
      </c>
      <c r="C15" s="73">
        <f t="shared" si="1"/>
        <v>0</v>
      </c>
      <c r="D15" s="74" t="s">
        <v>50</v>
      </c>
      <c r="E15" s="75"/>
      <c r="F15" s="22"/>
      <c r="G15" s="22"/>
      <c r="H15" s="22"/>
      <c r="I15" s="22"/>
      <c r="J15" s="22"/>
      <c r="K15" s="22"/>
      <c r="L15" s="22"/>
      <c r="M15" s="22"/>
      <c r="N15" s="73"/>
      <c r="O15" s="93"/>
      <c r="P15" s="95"/>
    </row>
    <row r="16" spans="1:16">
      <c r="B16" s="72">
        <f t="shared" si="0"/>
        <v>45845</v>
      </c>
      <c r="C16" s="73">
        <f t="shared" si="1"/>
        <v>0</v>
      </c>
      <c r="D16" s="74" t="s">
        <v>50</v>
      </c>
      <c r="E16" s="75"/>
      <c r="F16" s="22"/>
      <c r="G16" s="22"/>
      <c r="H16" s="22"/>
      <c r="I16" s="22"/>
      <c r="J16" s="22"/>
      <c r="K16" s="22"/>
      <c r="L16" s="22"/>
      <c r="M16" s="22"/>
      <c r="N16" s="73"/>
      <c r="O16" s="93"/>
      <c r="P16" s="95"/>
    </row>
    <row r="17" spans="1:16">
      <c r="B17" s="72">
        <f t="shared" si="0"/>
        <v>45846</v>
      </c>
      <c r="C17" s="73">
        <f t="shared" si="1"/>
        <v>0</v>
      </c>
      <c r="D17" s="74" t="s">
        <v>50</v>
      </c>
      <c r="E17" s="75"/>
      <c r="F17" s="22"/>
      <c r="G17" s="22"/>
      <c r="H17" s="22"/>
      <c r="I17" s="22"/>
      <c r="J17" s="22"/>
      <c r="K17" s="22"/>
      <c r="L17" s="22"/>
      <c r="M17" s="22"/>
      <c r="N17" s="73"/>
      <c r="O17" s="93"/>
      <c r="P17" s="95"/>
    </row>
    <row r="18" spans="1:16">
      <c r="B18" s="72">
        <f t="shared" si="0"/>
        <v>45847</v>
      </c>
      <c r="C18" s="73">
        <f t="shared" si="1"/>
        <v>0</v>
      </c>
      <c r="D18" s="74" t="s">
        <v>50</v>
      </c>
      <c r="E18" s="75"/>
      <c r="F18" s="22"/>
      <c r="G18" s="22"/>
      <c r="H18" s="22"/>
      <c r="I18" s="22"/>
      <c r="J18" s="22"/>
      <c r="K18" s="22"/>
      <c r="L18" s="22"/>
      <c r="M18" s="22"/>
      <c r="N18" s="73"/>
      <c r="O18" s="93"/>
      <c r="P18" s="95"/>
    </row>
    <row r="19" spans="1:16">
      <c r="B19" s="72">
        <f t="shared" si="0"/>
        <v>45848</v>
      </c>
      <c r="C19" s="73">
        <f t="shared" si="1"/>
        <v>0</v>
      </c>
      <c r="D19" s="74" t="s">
        <v>50</v>
      </c>
      <c r="E19" s="75"/>
      <c r="F19" s="22"/>
      <c r="G19" s="22"/>
      <c r="H19" s="22"/>
      <c r="I19" s="22"/>
      <c r="J19" s="22"/>
      <c r="K19" s="22"/>
      <c r="L19" s="22"/>
      <c r="M19" s="22"/>
      <c r="N19" s="73"/>
      <c r="O19" s="93"/>
      <c r="P19" s="95"/>
    </row>
    <row r="20" spans="1:16">
      <c r="B20" s="72">
        <f t="shared" si="0"/>
        <v>45849</v>
      </c>
      <c r="C20" s="73">
        <f t="shared" si="1"/>
        <v>0</v>
      </c>
      <c r="D20" s="74" t="s">
        <v>50</v>
      </c>
      <c r="E20" s="75"/>
      <c r="F20" s="22"/>
      <c r="G20" s="22"/>
      <c r="H20" s="22"/>
      <c r="I20" s="22"/>
      <c r="J20" s="22"/>
      <c r="K20" s="22"/>
      <c r="L20" s="22"/>
      <c r="M20" s="22"/>
      <c r="N20" s="73"/>
      <c r="O20" s="93"/>
      <c r="P20" s="95"/>
    </row>
    <row r="21" spans="1:16">
      <c r="B21" s="72">
        <f t="shared" si="0"/>
        <v>45850</v>
      </c>
      <c r="C21" s="73">
        <f t="shared" si="1"/>
        <v>0</v>
      </c>
      <c r="D21" s="74" t="s">
        <v>50</v>
      </c>
      <c r="E21" s="75"/>
      <c r="F21" s="22"/>
      <c r="G21" s="22"/>
      <c r="H21" s="22"/>
      <c r="I21" s="22"/>
      <c r="J21" s="22"/>
      <c r="K21" s="22"/>
      <c r="L21" s="22"/>
      <c r="M21" s="22"/>
      <c r="N21" s="73"/>
      <c r="O21" s="93"/>
      <c r="P21" s="95"/>
    </row>
    <row r="22" spans="1:16">
      <c r="B22" s="72">
        <f t="shared" si="0"/>
        <v>45851</v>
      </c>
      <c r="C22" s="73">
        <f t="shared" si="1"/>
        <v>0</v>
      </c>
      <c r="D22" s="74" t="s">
        <v>50</v>
      </c>
      <c r="E22" s="75"/>
      <c r="F22" s="22"/>
      <c r="G22" s="22"/>
      <c r="H22" s="22"/>
      <c r="I22" s="22"/>
      <c r="J22" s="22"/>
      <c r="K22" s="22"/>
      <c r="L22" s="22"/>
      <c r="M22" s="22"/>
      <c r="N22" s="73"/>
      <c r="O22" s="93"/>
      <c r="P22" s="95"/>
    </row>
    <row r="23" spans="1:16">
      <c r="B23" s="72">
        <f t="shared" si="0"/>
        <v>45852</v>
      </c>
      <c r="C23" s="73">
        <f t="shared" si="1"/>
        <v>0</v>
      </c>
      <c r="D23" s="74" t="s">
        <v>50</v>
      </c>
      <c r="E23" s="75"/>
      <c r="F23" s="22"/>
      <c r="G23" s="22"/>
      <c r="H23" s="22"/>
      <c r="I23" s="22"/>
      <c r="J23" s="22"/>
      <c r="K23" s="22"/>
      <c r="L23" s="22"/>
      <c r="M23" s="22"/>
      <c r="N23" s="73"/>
      <c r="O23" s="93"/>
      <c r="P23" s="95"/>
    </row>
    <row r="24" spans="1:16">
      <c r="B24" s="72">
        <f t="shared" si="0"/>
        <v>45853</v>
      </c>
      <c r="C24" s="73">
        <f t="shared" si="1"/>
        <v>0</v>
      </c>
      <c r="D24" s="74" t="s">
        <v>50</v>
      </c>
      <c r="E24" s="75"/>
      <c r="F24" s="22"/>
      <c r="G24" s="22"/>
      <c r="H24" s="22"/>
      <c r="I24" s="22"/>
      <c r="J24" s="22"/>
      <c r="K24" s="22"/>
      <c r="L24" s="22"/>
      <c r="M24" s="22"/>
      <c r="N24" s="73"/>
      <c r="O24" s="93"/>
      <c r="P24" s="95"/>
    </row>
    <row r="25" spans="1:16">
      <c r="B25" s="72">
        <f t="shared" si="0"/>
        <v>45854</v>
      </c>
      <c r="C25" s="73">
        <f t="shared" si="1"/>
        <v>0</v>
      </c>
      <c r="D25" s="74" t="s">
        <v>50</v>
      </c>
      <c r="E25" s="75"/>
      <c r="F25" s="22"/>
      <c r="G25" s="22"/>
      <c r="H25" s="22"/>
      <c r="I25" s="22"/>
      <c r="J25" s="22"/>
      <c r="K25" s="22"/>
      <c r="L25" s="22"/>
      <c r="M25" s="22"/>
      <c r="N25" s="73"/>
      <c r="O25" s="93"/>
      <c r="P25" s="95"/>
    </row>
    <row r="26" spans="1:16">
      <c r="B26" s="72">
        <f t="shared" si="0"/>
        <v>45855</v>
      </c>
      <c r="C26" s="73">
        <f t="shared" si="1"/>
        <v>0</v>
      </c>
      <c r="D26" s="74" t="s">
        <v>50</v>
      </c>
      <c r="E26" s="75"/>
      <c r="F26" s="22"/>
      <c r="G26" s="22"/>
      <c r="H26" s="22"/>
      <c r="I26" s="22"/>
      <c r="J26" s="22"/>
      <c r="K26" s="22"/>
      <c r="L26" s="22"/>
      <c r="M26" s="22"/>
      <c r="N26" s="73"/>
      <c r="O26" s="93"/>
      <c r="P26" s="95"/>
    </row>
    <row r="27" spans="1:16">
      <c r="B27" s="72">
        <f t="shared" si="0"/>
        <v>45856</v>
      </c>
      <c r="C27" s="73">
        <f t="shared" si="1"/>
        <v>0</v>
      </c>
      <c r="D27" s="74" t="s">
        <v>50</v>
      </c>
      <c r="E27" s="75"/>
      <c r="F27" s="22"/>
      <c r="G27" s="22"/>
      <c r="H27" s="22"/>
      <c r="I27" s="22"/>
      <c r="J27" s="22"/>
      <c r="K27" s="22"/>
      <c r="L27" s="22"/>
      <c r="M27" s="22"/>
      <c r="N27" s="73"/>
      <c r="O27" s="93"/>
      <c r="P27" s="95"/>
    </row>
    <row r="28" spans="1:16">
      <c r="B28" s="72">
        <f t="shared" si="0"/>
        <v>45857</v>
      </c>
      <c r="C28" s="73">
        <f t="shared" si="1"/>
        <v>0.40972222222222221</v>
      </c>
      <c r="D28" s="74" t="s">
        <v>50</v>
      </c>
      <c r="E28" s="75">
        <v>0</v>
      </c>
      <c r="F28" s="22">
        <v>0</v>
      </c>
      <c r="G28" s="22">
        <v>0</v>
      </c>
      <c r="H28" s="22">
        <v>0.20833333333333334</v>
      </c>
      <c r="I28" s="22">
        <v>0.16666666666666666</v>
      </c>
      <c r="J28" s="22">
        <v>0</v>
      </c>
      <c r="K28" s="22"/>
      <c r="L28" s="22"/>
      <c r="M28" s="22">
        <v>3.4722222222222224E-2</v>
      </c>
      <c r="N28" s="73">
        <v>0</v>
      </c>
      <c r="O28" s="93"/>
      <c r="P28" s="95"/>
    </row>
    <row r="29" spans="1:16">
      <c r="B29" s="72">
        <f t="shared" si="0"/>
        <v>45858</v>
      </c>
      <c r="C29" s="73">
        <f t="shared" si="1"/>
        <v>0</v>
      </c>
      <c r="D29" s="74" t="s">
        <v>50</v>
      </c>
      <c r="E29" s="75"/>
      <c r="F29" s="22"/>
      <c r="G29" s="22"/>
      <c r="H29" s="22"/>
      <c r="I29" s="22"/>
      <c r="J29" s="22"/>
      <c r="K29" s="22"/>
      <c r="L29" s="22"/>
      <c r="M29" s="22"/>
      <c r="N29" s="73"/>
      <c r="O29" s="93"/>
      <c r="P29" s="95"/>
    </row>
    <row r="30" spans="1:16">
      <c r="B30" s="72">
        <f t="shared" si="0"/>
        <v>45859</v>
      </c>
      <c r="C30" s="73">
        <f t="shared" si="1"/>
        <v>0</v>
      </c>
      <c r="D30" s="74" t="s">
        <v>50</v>
      </c>
      <c r="E30" s="75"/>
      <c r="F30" s="22"/>
      <c r="G30" s="22"/>
      <c r="H30" s="22"/>
      <c r="I30" s="22"/>
      <c r="J30" s="22"/>
      <c r="K30" s="22"/>
      <c r="L30" s="22"/>
      <c r="M30" s="22"/>
      <c r="N30" s="73"/>
      <c r="O30" s="93"/>
      <c r="P30" s="95"/>
    </row>
    <row r="31" spans="1:16">
      <c r="A31" s="101"/>
      <c r="B31" s="72">
        <f t="shared" si="0"/>
        <v>45860</v>
      </c>
      <c r="C31" s="73">
        <f t="shared" si="1"/>
        <v>0.3125</v>
      </c>
      <c r="D31" s="74" t="s">
        <v>50</v>
      </c>
      <c r="E31" s="100">
        <v>2.7777777777777776E-2</v>
      </c>
      <c r="F31" s="22"/>
      <c r="G31" s="22"/>
      <c r="H31" s="22"/>
      <c r="I31" s="22"/>
      <c r="J31" s="97">
        <v>0.25</v>
      </c>
      <c r="K31" s="22"/>
      <c r="L31" s="22"/>
      <c r="M31" s="97">
        <v>3.4722222222222224E-2</v>
      </c>
      <c r="N31" s="73"/>
      <c r="O31" s="93"/>
      <c r="P31" s="95"/>
    </row>
    <row r="32" spans="1:16">
      <c r="A32" s="40"/>
      <c r="B32" s="72">
        <f t="shared" si="0"/>
        <v>45861</v>
      </c>
      <c r="C32" s="73">
        <f t="shared" si="1"/>
        <v>0.22222222222222227</v>
      </c>
      <c r="D32" s="74" t="s">
        <v>50</v>
      </c>
      <c r="E32" s="75">
        <v>6.25E-2</v>
      </c>
      <c r="F32" s="22">
        <v>6.25E-2</v>
      </c>
      <c r="G32" s="22">
        <v>2.0833333333333332E-2</v>
      </c>
      <c r="H32" s="22">
        <v>2.0833333333333332E-2</v>
      </c>
      <c r="I32" s="22">
        <v>0</v>
      </c>
      <c r="J32" s="22">
        <v>0</v>
      </c>
      <c r="K32" s="22"/>
      <c r="L32" s="22">
        <v>2.7777777777777776E-2</v>
      </c>
      <c r="M32" s="22">
        <v>2.7777777777777776E-2</v>
      </c>
      <c r="N32" s="73">
        <v>0</v>
      </c>
      <c r="O32" s="93"/>
      <c r="P32" s="95"/>
    </row>
    <row r="33" spans="1:16">
      <c r="B33" s="72">
        <f t="shared" si="0"/>
        <v>45862</v>
      </c>
      <c r="C33" s="73">
        <f>SUM(E33:N33)</f>
        <v>0</v>
      </c>
      <c r="D33" s="74" t="s">
        <v>50</v>
      </c>
      <c r="E33" s="76"/>
      <c r="F33" s="76"/>
      <c r="G33" s="76"/>
      <c r="H33" s="76"/>
      <c r="I33" s="76"/>
      <c r="J33" s="76"/>
      <c r="K33" s="22"/>
      <c r="L33" s="76"/>
      <c r="M33" s="22"/>
      <c r="N33" s="73"/>
      <c r="O33" s="93"/>
      <c r="P33" s="95"/>
    </row>
    <row r="34" spans="1:16">
      <c r="B34" s="72">
        <f>B33+1</f>
        <v>45863</v>
      </c>
      <c r="C34" s="73">
        <f t="shared" si="1"/>
        <v>0</v>
      </c>
      <c r="D34" s="74" t="s">
        <v>50</v>
      </c>
      <c r="E34" s="77"/>
      <c r="F34" s="22"/>
      <c r="G34" s="22"/>
      <c r="H34" s="22"/>
      <c r="I34" s="22"/>
      <c r="J34" s="22"/>
      <c r="K34" s="22"/>
      <c r="L34" s="22"/>
      <c r="M34" s="22"/>
      <c r="N34" s="73"/>
      <c r="O34" s="93"/>
      <c r="P34" s="95"/>
    </row>
    <row r="35" spans="1:16">
      <c r="B35" s="72">
        <f t="shared" si="0"/>
        <v>45864</v>
      </c>
      <c r="C35" s="73">
        <f t="shared" si="1"/>
        <v>0</v>
      </c>
      <c r="D35" s="74" t="s">
        <v>50</v>
      </c>
      <c r="E35" s="75"/>
      <c r="F35" s="22"/>
      <c r="G35" s="22"/>
      <c r="H35" s="22"/>
      <c r="I35" s="22"/>
      <c r="J35" s="22"/>
      <c r="K35" s="22"/>
      <c r="L35" s="22"/>
      <c r="M35" s="22"/>
      <c r="N35" s="73"/>
      <c r="O35" s="93"/>
      <c r="P35" s="95"/>
    </row>
    <row r="36" spans="1:16">
      <c r="B36" s="72">
        <f t="shared" si="0"/>
        <v>45865</v>
      </c>
      <c r="C36" s="73">
        <f t="shared" si="1"/>
        <v>0</v>
      </c>
      <c r="D36" s="74" t="s">
        <v>50</v>
      </c>
      <c r="E36" s="75"/>
      <c r="F36" s="22"/>
      <c r="G36" s="22"/>
      <c r="H36" s="22"/>
      <c r="I36" s="22"/>
      <c r="J36" s="22"/>
      <c r="K36" s="22"/>
      <c r="L36" s="22"/>
      <c r="M36" s="22"/>
      <c r="N36" s="73"/>
      <c r="O36" s="93"/>
      <c r="P36" s="95"/>
    </row>
    <row r="37" spans="1:16">
      <c r="A37" s="40"/>
      <c r="B37" s="72">
        <f t="shared" si="0"/>
        <v>45866</v>
      </c>
      <c r="C37" s="73">
        <f t="shared" si="1"/>
        <v>0.125</v>
      </c>
      <c r="D37" s="74" t="s">
        <v>50</v>
      </c>
      <c r="E37" s="75">
        <v>6.25E-2</v>
      </c>
      <c r="F37" s="22">
        <v>6.25E-2</v>
      </c>
      <c r="G37" s="22">
        <v>0</v>
      </c>
      <c r="H37" s="22">
        <v>0</v>
      </c>
      <c r="I37" s="22">
        <v>0</v>
      </c>
      <c r="J37" s="22">
        <v>0</v>
      </c>
      <c r="K37" s="22"/>
      <c r="L37" s="22"/>
      <c r="M37" s="22"/>
      <c r="N37" s="73"/>
      <c r="O37" s="93"/>
      <c r="P37" s="95"/>
    </row>
    <row r="38" spans="1:16">
      <c r="B38" s="72">
        <f t="shared" si="0"/>
        <v>45867</v>
      </c>
      <c r="C38" s="73">
        <f t="shared" si="1"/>
        <v>0</v>
      </c>
      <c r="D38" s="74" t="s">
        <v>50</v>
      </c>
      <c r="E38" s="75"/>
      <c r="F38" s="22"/>
      <c r="G38" s="22"/>
      <c r="H38" s="22"/>
      <c r="I38" s="22"/>
      <c r="J38" s="22"/>
      <c r="K38" s="22"/>
      <c r="L38" s="22"/>
      <c r="M38" s="22"/>
      <c r="N38" s="73"/>
      <c r="O38" s="93"/>
      <c r="P38" s="95"/>
    </row>
    <row r="39" spans="1:16">
      <c r="B39" s="72">
        <f t="shared" si="0"/>
        <v>45868</v>
      </c>
      <c r="C39" s="73">
        <f t="shared" si="1"/>
        <v>0</v>
      </c>
      <c r="D39" s="74" t="s">
        <v>50</v>
      </c>
      <c r="E39" s="75"/>
      <c r="F39" s="22"/>
      <c r="G39" s="22"/>
      <c r="H39" s="22"/>
      <c r="I39" s="22"/>
      <c r="J39" s="22"/>
      <c r="K39" s="22"/>
      <c r="L39" s="22"/>
      <c r="M39" s="22"/>
      <c r="N39" s="73"/>
      <c r="O39" s="93"/>
      <c r="P39" s="95"/>
    </row>
    <row r="40" spans="1:16" ht="19.5" thickBot="1">
      <c r="B40" s="78">
        <f>B39+1</f>
        <v>45869</v>
      </c>
      <c r="C40" s="73">
        <f t="shared" si="1"/>
        <v>0</v>
      </c>
      <c r="D40" s="79" t="s">
        <v>50</v>
      </c>
      <c r="E40" s="80"/>
      <c r="F40" s="81"/>
      <c r="G40" s="81"/>
      <c r="H40" s="81"/>
      <c r="I40" s="81"/>
      <c r="J40" s="81"/>
      <c r="K40" s="81"/>
      <c r="L40" s="81"/>
      <c r="M40" s="81"/>
      <c r="N40" s="82"/>
      <c r="O40" s="93"/>
      <c r="P40" s="95"/>
    </row>
    <row r="41" spans="1:16" ht="19.5" thickBot="1">
      <c r="B41" s="55" t="s">
        <v>48</v>
      </c>
      <c r="C41" s="56"/>
      <c r="D41" s="57" t="s">
        <v>48</v>
      </c>
      <c r="E41" s="58">
        <f>SUM(E10:E40)</f>
        <v>0.15277777777777779</v>
      </c>
      <c r="F41" s="59">
        <f>SUM(F10:F40)</f>
        <v>0.125</v>
      </c>
      <c r="G41" s="59">
        <f t="shared" ref="G41:N41" si="2">SUM(G10:G40)</f>
        <v>2.0833333333333332E-2</v>
      </c>
      <c r="H41" s="59">
        <f t="shared" si="2"/>
        <v>0.22916666666666669</v>
      </c>
      <c r="I41" s="59">
        <f t="shared" si="2"/>
        <v>0.16666666666666666</v>
      </c>
      <c r="J41" s="59">
        <f t="shared" si="2"/>
        <v>0.25</v>
      </c>
      <c r="K41" s="59">
        <f t="shared" si="2"/>
        <v>0</v>
      </c>
      <c r="L41" s="59">
        <f t="shared" si="2"/>
        <v>2.7777777777777776E-2</v>
      </c>
      <c r="M41" s="59">
        <f t="shared" si="2"/>
        <v>9.7222222222222224E-2</v>
      </c>
      <c r="N41" s="59">
        <f t="shared" si="2"/>
        <v>0</v>
      </c>
      <c r="O41" s="94">
        <f>SUM(E41:N41)</f>
        <v>1.0694444444444444</v>
      </c>
      <c r="P41" s="95"/>
    </row>
  </sheetData>
  <phoneticPr fontId="1"/>
  <conditionalFormatting sqref="B10:N40">
    <cfRule type="expression" dxfId="0" priority="2">
      <formula>WEEKDAY($B10:$B$40,2)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2"/>
  <sheetViews>
    <sheetView showGridLines="0" workbookViewId="0">
      <selection activeCell="D21" sqref="D21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5" t="s">
        <v>72</v>
      </c>
      <c r="B1" s="45"/>
    </row>
    <row r="4" spans="1:12">
      <c r="A4" s="14" t="s">
        <v>5</v>
      </c>
      <c r="B4" s="14" t="s">
        <v>76</v>
      </c>
      <c r="C4" s="14" t="s">
        <v>12</v>
      </c>
      <c r="D4" s="14" t="s">
        <v>13</v>
      </c>
      <c r="E4" s="14" t="s">
        <v>14</v>
      </c>
      <c r="F4" s="14" t="s">
        <v>15</v>
      </c>
      <c r="G4" s="14" t="s">
        <v>16</v>
      </c>
      <c r="H4" s="14" t="s">
        <v>17</v>
      </c>
      <c r="I4" s="14" t="s">
        <v>18</v>
      </c>
      <c r="J4" s="14" t="s">
        <v>19</v>
      </c>
      <c r="K4" s="14" t="s">
        <v>20</v>
      </c>
      <c r="L4" s="14" t="s">
        <v>21</v>
      </c>
    </row>
    <row r="5" spans="1:12">
      <c r="A5" s="1" t="s">
        <v>23</v>
      </c>
      <c r="B5" s="1"/>
      <c r="C5" s="1" t="s">
        <v>7</v>
      </c>
      <c r="D5" s="1" t="s">
        <v>8</v>
      </c>
      <c r="E5" s="1" t="s">
        <v>32</v>
      </c>
      <c r="F5" s="11" t="s">
        <v>87</v>
      </c>
      <c r="G5" s="1"/>
      <c r="H5" s="1"/>
      <c r="I5" s="1"/>
      <c r="J5" s="1"/>
      <c r="K5" s="1"/>
      <c r="L5" s="1"/>
    </row>
    <row r="6" spans="1:12">
      <c r="A6" s="1" t="s">
        <v>42</v>
      </c>
      <c r="B6" s="1"/>
      <c r="C6" s="1" t="s">
        <v>22</v>
      </c>
      <c r="D6" s="1"/>
      <c r="E6" s="1"/>
      <c r="F6" s="1"/>
      <c r="G6" s="1"/>
      <c r="H6" s="1"/>
      <c r="I6" s="1"/>
      <c r="J6" s="1"/>
      <c r="K6" s="1"/>
      <c r="L6" s="1"/>
    </row>
    <row r="7" spans="1:12">
      <c r="A7" s="1" t="s">
        <v>42</v>
      </c>
      <c r="B7" s="1"/>
      <c r="C7" s="1" t="s">
        <v>9</v>
      </c>
      <c r="D7" s="1" t="s">
        <v>73</v>
      </c>
      <c r="E7" s="1"/>
      <c r="F7" s="1"/>
      <c r="G7" s="1"/>
      <c r="H7" s="1"/>
      <c r="I7" s="1"/>
      <c r="J7" s="1"/>
      <c r="K7" s="1"/>
      <c r="L7" s="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8" spans="1:12">
      <c r="A18" s="14" t="s">
        <v>6</v>
      </c>
      <c r="B18" s="14"/>
      <c r="C18" s="14" t="s">
        <v>12</v>
      </c>
      <c r="D18" s="14" t="s">
        <v>13</v>
      </c>
      <c r="E18" s="14" t="s">
        <v>14</v>
      </c>
      <c r="F18" s="14" t="s">
        <v>15</v>
      </c>
      <c r="G18" s="14" t="s">
        <v>16</v>
      </c>
      <c r="H18" s="14" t="s">
        <v>17</v>
      </c>
      <c r="I18" s="14" t="s">
        <v>18</v>
      </c>
      <c r="J18" s="14" t="s">
        <v>19</v>
      </c>
      <c r="K18" s="14" t="s">
        <v>20</v>
      </c>
      <c r="L18" s="14" t="s">
        <v>21</v>
      </c>
    </row>
    <row r="19" spans="1:12">
      <c r="A19" s="1" t="s">
        <v>44</v>
      </c>
      <c r="B19" s="1"/>
      <c r="C19" s="1" t="s">
        <v>7</v>
      </c>
      <c r="D19" s="1" t="s">
        <v>8</v>
      </c>
      <c r="E19" s="11" t="s">
        <v>41</v>
      </c>
      <c r="F19" s="1"/>
      <c r="G19" s="1"/>
      <c r="H19" s="1"/>
      <c r="I19" s="1"/>
      <c r="J19" s="1"/>
      <c r="K19" s="1"/>
      <c r="L19" s="1"/>
    </row>
    <row r="20" spans="1:12">
      <c r="A20" s="1" t="s">
        <v>46</v>
      </c>
      <c r="B20" s="1"/>
      <c r="C20" s="1" t="s">
        <v>47</v>
      </c>
      <c r="D20" s="1" t="s">
        <v>89</v>
      </c>
      <c r="E20" s="1"/>
      <c r="F20" s="1"/>
      <c r="G20" s="1"/>
      <c r="H20" s="1"/>
      <c r="I20" s="1"/>
      <c r="J20" s="1"/>
      <c r="K20" s="1"/>
      <c r="L20" s="1"/>
    </row>
    <row r="21" spans="1:1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61" t="s">
        <v>66</v>
      </c>
      <c r="B1" s="61" t="s">
        <v>67</v>
      </c>
      <c r="C1" s="61" t="s">
        <v>68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70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28</v>
      </c>
      <c r="C30" s="13" t="s">
        <v>94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28</v>
      </c>
      <c r="D8" s="13" t="s">
        <v>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2025-08-26T16:54:32Z</dcterms:modified>
</cp:coreProperties>
</file>