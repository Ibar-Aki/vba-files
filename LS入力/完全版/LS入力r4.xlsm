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完全版\"/>
    </mc:Choice>
  </mc:AlternateContent>
  <xr:revisionPtr revIDLastSave="0" documentId="13_ncr:1_{B86FB0C1-DA01-439F-A02D-7E557FA04D47}" xr6:coauthVersionLast="47" xr6:coauthVersionMax="47" xr10:uidLastSave="{00000000-0000-0000-0000-000000000000}"/>
  <bookViews>
    <workbookView xWindow="-120" yWindow="-120" windowWidth="38640" windowHeight="21120" activeTab="8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  <sheet name="数式一覧" sheetId="10" r:id="rId7"/>
    <sheet name="FormatInventory" sheetId="12" r:id="rId8"/>
    <sheet name="表示形式一覧" sheetId="13" r:id="rId9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10" l="1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E10" i="5"/>
  <c r="C3" i="1"/>
  <c r="C2" i="10" s="1"/>
  <c r="D3" i="5"/>
  <c r="C4" i="10" s="1"/>
  <c r="N43" i="4"/>
  <c r="M43" i="4"/>
  <c r="L43" i="4"/>
  <c r="K43" i="4"/>
  <c r="J43" i="4"/>
  <c r="I43" i="4"/>
  <c r="H43" i="4"/>
  <c r="G43" i="4"/>
  <c r="F43" i="4"/>
  <c r="E43" i="4"/>
  <c r="C43" i="4"/>
  <c r="D42" i="10"/>
  <c r="D38" i="10"/>
  <c r="D34" i="10"/>
  <c r="D30" i="10"/>
  <c r="D26" i="10"/>
  <c r="D22" i="10"/>
  <c r="D18" i="10"/>
  <c r="D14" i="10"/>
  <c r="D10" i="10"/>
  <c r="D6" i="10"/>
  <c r="D2" i="10"/>
  <c r="D40" i="10"/>
  <c r="D36" i="10"/>
  <c r="D32" i="10"/>
  <c r="D28" i="10"/>
  <c r="D24" i="10"/>
  <c r="D20" i="10"/>
  <c r="D16" i="10"/>
  <c r="D8" i="10"/>
  <c r="D4" i="10"/>
  <c r="D39" i="10"/>
  <c r="D27" i="10"/>
  <c r="D19" i="10"/>
  <c r="D15" i="10"/>
  <c r="D7" i="10"/>
  <c r="D3" i="10"/>
  <c r="D41" i="10"/>
  <c r="D37" i="10"/>
  <c r="D33" i="10"/>
  <c r="D29" i="10"/>
  <c r="D25" i="10"/>
  <c r="D21" i="10"/>
  <c r="D17" i="10"/>
  <c r="D13" i="10"/>
  <c r="D9" i="10"/>
  <c r="D5" i="10"/>
  <c r="D12" i="10"/>
  <c r="D43" i="10"/>
  <c r="D35" i="10"/>
  <c r="D31" i="10"/>
  <c r="D23" i="10"/>
  <c r="D11" i="10"/>
  <c r="Q43" i="4" l="1"/>
  <c r="P12" i="4"/>
  <c r="P43" i="4" s="1"/>
  <c r="E5" i="4"/>
  <c r="E6" i="4"/>
  <c r="E7" i="4"/>
  <c r="E11" i="5"/>
  <c r="E9" i="5"/>
  <c r="E23" i="5"/>
  <c r="E12" i="5"/>
  <c r="E13" i="5"/>
  <c r="E14" i="5"/>
  <c r="E15" i="5"/>
  <c r="E16" i="5"/>
  <c r="E17" i="5"/>
  <c r="E8" i="5"/>
  <c r="E18" i="5" l="1"/>
  <c r="H18" i="5" s="1"/>
  <c r="D4" i="4" l="1"/>
  <c r="E4" i="4" s="1"/>
  <c r="D3" i="4" l="1"/>
  <c r="E3" i="4" s="1"/>
  <c r="G3" i="4" s="1"/>
  <c r="E3" i="5"/>
  <c r="C5" i="10" s="1"/>
  <c r="D3" i="1"/>
  <c r="C3" i="10" s="1"/>
  <c r="H4" i="4" l="1"/>
  <c r="H3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<sst xmlns="http://schemas.openxmlformats.org/spreadsheetml/2006/main" count="339" uniqueCount="200">
  <si>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</si>
  <si>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</si>
  <si>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</si>
  <si>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</si>
  <si>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</si>
  <si>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</si>
  <si>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</si>
  <si>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</si>
  <si>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</si>
  <si>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</si>
  <si>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</si>
  <si>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</si>
  <si>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</si>
  <si>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</si>
  <si>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</si>
  <si>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</si>
  <si>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</si>
  <si>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</si>
  <si>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</si>
  <si>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</si>
  <si>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</si>
  <si>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</si>
  <si>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</si>
  <si>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</si>
  <si>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</si>
  <si>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</si>
  <si>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</si>
  <si>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</si>
  <si>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</si>
  <si>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</si>
  <si>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</si>
  <si>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</si>
  <si>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</si>
  <si>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</si>
  <si>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</si>
  <si>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</si>
  <si>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</si>
  <si>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</si>
  <si>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</si>
  <si>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</si>
  <si>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</si>
  <si>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</si>
  <si>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</si>
  <si>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</si>
  <si>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</si>
  <si>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</si>
  <si>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</si>
  <si>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</si>
  <si>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</si>
  <si>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</si>
  <si>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</si>
  <si>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</si>
  <si>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</si>
  <si>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</si>
  <si>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</si>
  <si>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</si>
  <si>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</si>
  <si>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</si>
  <si>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</si>
  <si>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</si>
  <si>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</si>
  <si>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</si>
  <si>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</si>
  <si>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</si>
  <si>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</si>
  <si>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</si>
  <si>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</si>
  <si>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</si>
  <si>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</si>
  <si>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</si>
  <si>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</si>
  <si>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</si>
  <si>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</si>
  <si>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</si>
  <si>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</si>
  <si>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</si>
  <si>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</si>
  <si>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</si>
  <si>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</si>
  <si>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</si>
  <si>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</si>
  <si>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</si>
  <si>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</si>
  <si>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</si>
  <si>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</si>
  <si>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</si>
  <si>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</si>
  <si>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</si>
  <si>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</si>
  <si>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</si>
  <si>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</si>
  <si>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</si>
  <si>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</si>
  <si>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</si>
  <si>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</si>
  <si>
    <t>0900-0930</t>
  </si>
  <si>
    <t>tesy</t>
  </si>
  <si>
    <t>0030</t>
  </si>
  <si>
    <t>No.</t>
  </si>
  <si>
    <t>NumberFormatLocal（表示形式）</t>
  </si>
  <si>
    <t>推定カテゴリ</t>
  </si>
  <si>
    <t>件数</t>
  </si>
  <si>
    <t>代表セル（最大5件）</t>
  </si>
  <si>
    <t>G/標準</t>
  </si>
  <si>
    <t>標準</t>
  </si>
  <si>
    <t>データ取得!A1, データ取得!B1, データ取得!C1, データ取得!D1, データ取得!E1</t>
  </si>
  <si>
    <t>hh:mm</t>
  </si>
  <si>
    <t>時刻/日時</t>
  </si>
  <si>
    <t>月次データ!C12, 月次データ!D12, 月次データ!E12, 月次データ!F12, 月次データ!G12</t>
  </si>
  <si>
    <t>[hh]:mm</t>
  </si>
  <si>
    <t>月次データ!C1, 月次データ!O12, 月次データ!F13, 月次データ!M13, 月次データ!O13</t>
  </si>
  <si>
    <t>mm/dd(aaa)</t>
  </si>
  <si>
    <t>日付</t>
  </si>
  <si>
    <t>データ登録!D3, データ登録!D4, 月次データ!B12, 月次データ!B13, 月次データ!B14</t>
  </si>
  <si>
    <t>h:mm</t>
  </si>
  <si>
    <t>月次データ!P12, 月次データ!P13, 月次データ!P14, 月次データ!P15, 月次データ!P16</t>
  </si>
  <si>
    <t>hhmm</t>
  </si>
  <si>
    <t>データ取得!E13, データ取得!E14, データ取得!E15, データ取得!E16, データ取得!E17</t>
  </si>
  <si>
    <t>[h]:mm</t>
  </si>
  <si>
    <t>月次データ!D3, 月次データ!H3, 月次データ!D4, 月次データ!H4, 月次データ!D5</t>
  </si>
  <si>
    <t>@</t>
  </si>
  <si>
    <t>文字列</t>
  </si>
  <si>
    <t>データ取得!E3, データ取得!D8, データ取得!E8, データ取得!D9, データ取得!E9</t>
  </si>
  <si>
    <t>数値</t>
  </si>
  <si>
    <t>月次データ!E3, 月次データ!F3, 月次データ!G3, 月次データ!E4, 月次データ!F4</t>
  </si>
  <si>
    <t>データ登録!F8, データ登録!F9, データ登録!F10, データ登録!F11, データ登録!F12</t>
  </si>
  <si>
    <t>mm/dd</t>
  </si>
  <si>
    <t>0_);[赤](0)</t>
  </si>
  <si>
    <t>データ登録!L10, データ登録!M10</t>
  </si>
  <si>
    <t>m"月"d"日"(aaa)</t>
  </si>
  <si>
    <t>月次データ!B43, 月次データ!D43</t>
  </si>
  <si>
    <t>[m]</t>
  </si>
  <si>
    <t>月次データ!E8</t>
  </si>
  <si>
    <t>m"月"d"日"</t>
  </si>
  <si>
    <t>月次データ!E1</t>
  </si>
  <si>
    <t>シート名</t>
  </si>
  <si>
    <t>セル</t>
  </si>
  <si>
    <t>データ取得</t>
  </si>
  <si>
    <t>C3</t>
  </si>
  <si>
    <t>D3</t>
  </si>
  <si>
    <t>火曜日</t>
  </si>
  <si>
    <t>データ登録</t>
  </si>
  <si>
    <t>E3</t>
  </si>
  <si>
    <t>金曜日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</si>
  <si>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</si>
  <si>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</si>
  <si>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</si>
  <si>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</si>
  <si>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</si>
  <si>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</si>
  <si>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</si>
  <si>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</si>
  <si>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</si>
  <si>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</si>
  <si>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</si>
  <si>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H18</t>
  </si>
  <si>
    <t>E23</t>
  </si>
  <si>
    <t>月次データ</t>
  </si>
  <si>
    <t>G3</t>
  </si>
  <si>
    <t>D4</t>
  </si>
  <si>
    <t>H3</t>
  </si>
  <si>
    <t>H4</t>
  </si>
  <si>
    <t>E4</t>
  </si>
  <si>
    <t>E5</t>
  </si>
  <si>
    <t>E6</t>
  </si>
  <si>
    <t>E7</t>
  </si>
  <si>
    <t>D8</t>
  </si>
  <si>
    <t>P12</t>
  </si>
  <si>
    <t>C43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</si>
  <si>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</si>
  <si>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</si>
  <si>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</si>
  <si>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</si>
  <si>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</si>
  <si>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</si>
  <si>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</si>
  <si>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</si>
  <si>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</si>
  <si>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</si>
  <si>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P43</t>
  </si>
  <si>
    <t>Q43</t>
  </si>
  <si>
    <t>表示値(書式適用)</t>
  </si>
  <si>
    <t>FORMULATEXT結果</t>
  </si>
  <si>
    <t>セル値(コピー)</t>
  </si>
  <si>
    <t>データ取得!C3:データ取得!C4, データ登録!D5, 数式一覧!C2</t>
  </si>
  <si>
    <t>yyyy/m/d</t>
  </si>
  <si>
    <t>数式一覧!E2, 数式一覧!E4</t>
  </si>
  <si>
    <t>データ取得!E13:データ取得!E22, データ登録!E8:データ登録!E17</t>
  </si>
  <si>
    <t>データ登録!D3:データ登録!D4, 月次データ!B12:月次データ!B29</t>
  </si>
  <si>
    <t>月次データ!P12:月次データ!P31</t>
  </si>
  <si>
    <t>データ登録!F8:データ登録!F17, データ登録!H18, 数式一覧!C17</t>
  </si>
  <si>
    <t>データ取得!C3, データ取得!C4, データ登録!D5, 数式一覧!C2</t>
    <phoneticPr fontId="1"/>
  </si>
  <si>
    <t>代表セル（最大20件・連続セルは範囲表示）</t>
  </si>
  <si>
    <t>月次データ!C12:月次データ!N12, 月次データ!C13:月次データ!E13, 月次データ!G13:月次データ!K13</t>
  </si>
  <si>
    <t>月次データ!C1, 月次データ!O12:月次データ!O28, 月次データ!F13, 月次データ!M13</t>
  </si>
  <si>
    <t>月次データ!D3:月次データ!D8, 月次データ!H3:月次データ!H4, 月次データ!C43, 月次データ!E43:月次データ!N43, 月次データ!P43</t>
  </si>
  <si>
    <t>月次データ!E3:月次データ!G7, 数式一覧!C19, 数式一覧!C24:数式一覧!C27</t>
  </si>
  <si>
    <t>データ取得!E3, データ取得!D8:データ取得!E12, データ取得!D13:データ取得!D15, マスタ!F6, マスタ!E20</t>
  </si>
  <si>
    <t>データ登録!L10:データ登録!M10</t>
  </si>
  <si>
    <t>データ取得!A1:データ取得!I2, データ取得!A3:データ取得!B3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</si>
</sst>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m/dd\(aaa\)"/>
    <numFmt numFmtId="185" formatCode="0_);[Red]\(0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6E6E6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16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1" fontId="0" fillId="0" borderId="1" xfId="0" applyNumberFormat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84" fontId="0" fillId="0" borderId="13" xfId="0" applyNumberFormat="1" applyBorder="1" applyProtection="1">
      <alignment vertical="center"/>
      <protection locked="0"/>
    </xf>
    <xf numFmtId="184" fontId="0" fillId="0" borderId="15" xfId="0" applyNumberFormat="1" applyBorder="1" applyProtection="1">
      <alignment vertical="center"/>
      <protection locked="0"/>
    </xf>
    <xf numFmtId="184" fontId="0" fillId="0" borderId="4" xfId="0" applyNumberFormat="1" applyBorder="1" applyProtection="1">
      <alignment vertical="center"/>
      <protection locked="0"/>
    </xf>
    <xf numFmtId="185" fontId="3" fillId="0" borderId="5" xfId="0" applyNumberFormat="1" applyFont="1" applyBorder="1" applyProtection="1">
      <alignment vertical="center"/>
      <protection locked="0"/>
    </xf>
    <xf numFmtId="185" fontId="0" fillId="0" borderId="15" xfId="0" applyNumberFormat="1" applyBorder="1" applyProtection="1">
      <alignment vertical="center"/>
      <protection locked="0"/>
    </xf>
    <xf numFmtId="184" fontId="3" fillId="0" borderId="5" xfId="0" applyNumberFormat="1" applyFont="1" applyBorder="1" applyProtection="1">
      <alignment vertical="center"/>
      <protection locked="0"/>
    </xf>
    <xf numFmtId="184" fontId="0" fillId="2" borderId="3" xfId="0" applyNumberFormat="1" applyFill="1" applyBorder="1">
      <alignment vertical="center"/>
    </xf>
    <xf numFmtId="0" fontId="2" fillId="10" borderId="0" xfId="0" applyFont="1" applyFill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left" vertical="top" wrapText="1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3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84" fontId="0" fillId="0" borderId="0" xfId="0" applyNumberFormat="1">
      <alignment vertical="center"/>
    </xf>
    <xf numFmtId="179" fontId="0" fillId="0" borderId="0" xfId="0" applyNumberFormat="1">
      <alignment vertical="center"/>
    </xf>
    <xf numFmtId="1" fontId="0" fillId="0" borderId="0" xfId="0" applyNumberFormat="1">
      <alignment vertical="center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L15" sqref="L15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114" t="s">
        <v>1</v>
      </c>
      <c r="C2" s="114"/>
      <c r="D2" s="114"/>
      <c r="E2" s="114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 t="s">
        <v>95</v>
      </c>
      <c r="D8" s="11" t="s">
        <v>96</v>
      </c>
      <c r="E8" s="11" t="s">
        <v>97</v>
      </c>
      <c r="F8" s="63" t="s">
        <v>79</v>
      </c>
      <c r="G8" s="19"/>
      <c r="H8" s="63" t="s">
        <v>43</v>
      </c>
      <c r="I8" s="19"/>
    </row>
    <row r="9" spans="1:9">
      <c r="A9" s="10">
        <v>2</v>
      </c>
      <c r="B9" s="10"/>
      <c r="C9" s="10"/>
      <c r="D9" s="11"/>
      <c r="E9" s="11"/>
      <c r="F9" s="54"/>
      <c r="G9" s="19"/>
      <c r="H9" s="54"/>
      <c r="I9" s="19"/>
    </row>
    <row r="10" spans="1:9">
      <c r="A10" s="10">
        <v>3</v>
      </c>
      <c r="B10" s="10"/>
      <c r="C10" s="10"/>
      <c r="D10" s="11"/>
      <c r="E10" s="11"/>
      <c r="F10" s="54"/>
      <c r="G10" s="19"/>
      <c r="H10" s="54"/>
      <c r="I10" s="19"/>
    </row>
    <row r="11" spans="1:9">
      <c r="A11" s="10">
        <v>4</v>
      </c>
      <c r="B11" s="10"/>
      <c r="C11" s="10"/>
      <c r="D11" s="11"/>
      <c r="E11" s="11"/>
      <c r="F11" s="54"/>
      <c r="G11" s="19"/>
      <c r="H11" s="54"/>
      <c r="I11" s="19"/>
    </row>
    <row r="12" spans="1:9">
      <c r="A12" s="10">
        <v>5</v>
      </c>
      <c r="B12" s="10"/>
      <c r="C12" s="10"/>
      <c r="D12" s="11"/>
      <c r="E12" s="11"/>
      <c r="F12" s="54"/>
      <c r="G12" s="19"/>
      <c r="H12" s="54"/>
      <c r="I12" s="19"/>
    </row>
    <row r="13" spans="1:9">
      <c r="A13" s="10">
        <v>6</v>
      </c>
      <c r="B13" s="10"/>
      <c r="C13" s="10"/>
      <c r="D13" s="11"/>
      <c r="E13" s="22"/>
      <c r="F13" s="54"/>
      <c r="G13" s="19"/>
      <c r="H13" s="54"/>
      <c r="I13" s="19"/>
    </row>
    <row r="14" spans="1:9">
      <c r="A14" s="10">
        <v>7</v>
      </c>
      <c r="B14" s="10"/>
      <c r="C14" s="10"/>
      <c r="D14" s="11"/>
      <c r="E14" s="22"/>
      <c r="F14" s="54"/>
      <c r="G14" s="19"/>
      <c r="H14" s="54"/>
      <c r="I14" s="19"/>
    </row>
    <row r="15" spans="1:9">
      <c r="A15" s="10">
        <v>8</v>
      </c>
      <c r="B15" s="10"/>
      <c r="C15" s="10"/>
      <c r="D15" s="11"/>
      <c r="E15" s="22"/>
      <c r="F15" s="54"/>
      <c r="G15" s="19"/>
      <c r="H15" s="54"/>
      <c r="I15" s="19"/>
    </row>
    <row r="16" spans="1:9">
      <c r="A16" s="10">
        <v>9</v>
      </c>
      <c r="B16" s="10"/>
      <c r="C16" s="10"/>
      <c r="D16" s="10"/>
      <c r="E16" s="22"/>
      <c r="F16" s="54"/>
      <c r="G16" s="19"/>
      <c r="H16" s="54"/>
      <c r="I16" s="19"/>
    </row>
    <row r="17" spans="1:9">
      <c r="A17" s="10">
        <v>10</v>
      </c>
      <c r="B17" s="10"/>
      <c r="C17" s="10"/>
      <c r="D17" s="10"/>
      <c r="E17" s="22"/>
      <c r="F17" s="54"/>
      <c r="G17" s="19"/>
      <c r="H17" s="54"/>
      <c r="I17" s="19"/>
    </row>
    <row r="18" spans="1:9">
      <c r="A18" s="10">
        <v>11</v>
      </c>
      <c r="B18" s="10"/>
      <c r="C18" s="10"/>
      <c r="D18" s="10"/>
      <c r="E18" s="22"/>
      <c r="F18" s="54"/>
      <c r="G18" s="19"/>
      <c r="H18" s="54"/>
      <c r="I18" s="19"/>
    </row>
    <row r="19" spans="1:9">
      <c r="A19" s="10">
        <v>12</v>
      </c>
      <c r="B19" s="10"/>
      <c r="C19" s="10"/>
      <c r="D19" s="10"/>
      <c r="E19" s="22"/>
      <c r="F19" s="54"/>
      <c r="G19" s="19"/>
      <c r="H19" s="54"/>
      <c r="I19" s="19"/>
    </row>
    <row r="20" spans="1:9">
      <c r="A20" s="10">
        <v>13</v>
      </c>
      <c r="B20" s="10"/>
      <c r="C20" s="10"/>
      <c r="D20" s="10"/>
      <c r="E20" s="22"/>
      <c r="F20" s="54"/>
      <c r="G20" s="19"/>
      <c r="H20" s="54"/>
      <c r="I20" s="19"/>
    </row>
    <row r="21" spans="1:9">
      <c r="A21" s="10">
        <v>14</v>
      </c>
      <c r="B21" s="10"/>
      <c r="C21" s="10"/>
      <c r="D21" s="10"/>
      <c r="E21" s="22"/>
      <c r="F21" s="54"/>
      <c r="G21" s="19"/>
      <c r="H21" s="54"/>
      <c r="I21" s="19"/>
    </row>
    <row r="22" spans="1:9">
      <c r="A22" s="10">
        <v>15</v>
      </c>
      <c r="B22" s="10"/>
      <c r="C22" s="10"/>
      <c r="D22" s="10"/>
      <c r="E22" s="22"/>
      <c r="F22" s="54"/>
      <c r="G22" s="19"/>
      <c r="H22" s="54"/>
      <c r="I22" s="19"/>
    </row>
    <row r="25" spans="1:9">
      <c r="F25" s="12"/>
      <c r="G25" s="12"/>
    </row>
  </sheetData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M52"/>
  <sheetViews>
    <sheetView showGridLines="0" zoomScale="130" zoomScaleNormal="130" workbookViewId="0">
      <selection activeCell="I8" sqref="I8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9.875" bestFit="1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13" s="45" customFormat="1" ht="25.5">
      <c r="A1" s="45" t="s">
        <v>59</v>
      </c>
      <c r="I1" s="115"/>
    </row>
    <row r="2" spans="1:13" ht="18" customHeight="1" thickBot="1">
      <c r="I2" s="115"/>
    </row>
    <row r="3" spans="1:13">
      <c r="C3" s="7" t="s">
        <v>34</v>
      </c>
      <c r="D3" s="112">
        <f ca="1">IF($D$4&lt;&gt;"",$D$4,WORKDAY(TODAY(),-1))</f>
        <v>45933</v>
      </c>
      <c r="E3" s="2" t="str">
        <f ca="1">TEXT(D3,"aaaa")</f>
        <v>金曜日</v>
      </c>
    </row>
    <row r="4" spans="1:13" ht="19.5" thickBot="1">
      <c r="C4" s="5" t="s">
        <v>0</v>
      </c>
      <c r="D4" s="111"/>
      <c r="E4" s="6" t="s">
        <v>38</v>
      </c>
      <c r="H4" s="16"/>
      <c r="I4" s="16"/>
    </row>
    <row r="5" spans="1:13">
      <c r="C5" s="6"/>
      <c r="D5" s="21"/>
      <c r="H5" s="16"/>
      <c r="I5" s="16"/>
    </row>
    <row r="6" spans="1:13" ht="19.5" thickBot="1">
      <c r="B6" s="44" t="s">
        <v>33</v>
      </c>
      <c r="E6" s="2"/>
      <c r="F6" s="2" t="s">
        <v>67</v>
      </c>
    </row>
    <row r="7" spans="1:13">
      <c r="B7" s="41" t="s">
        <v>26</v>
      </c>
      <c r="C7" s="52" t="s">
        <v>24</v>
      </c>
      <c r="D7" s="52" t="s">
        <v>87</v>
      </c>
      <c r="E7" s="26" t="s">
        <v>36</v>
      </c>
      <c r="F7" s="70" t="s">
        <v>37</v>
      </c>
      <c r="G7" s="32" t="s">
        <v>32</v>
      </c>
      <c r="H7" s="33" t="s">
        <v>88</v>
      </c>
    </row>
    <row r="8" spans="1:13">
      <c r="B8" s="42">
        <v>1</v>
      </c>
      <c r="C8" s="10" t="s">
        <v>23</v>
      </c>
      <c r="D8" s="10" t="s">
        <v>42</v>
      </c>
      <c r="E8" s="73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1"/>
      <c r="G8" s="10"/>
      <c r="H8" s="34"/>
    </row>
    <row r="9" spans="1:13">
      <c r="B9" s="42">
        <v>2</v>
      </c>
      <c r="C9" s="10" t="s">
        <v>23</v>
      </c>
      <c r="D9" s="10" t="s">
        <v>44</v>
      </c>
      <c r="E9" s="73">
        <f>IF(OR(C9="", D9=""), 0, IF(F9&lt;&gt;"",TIME(INT(F9/100),MOD(F9,100),0),SUMPRODUCT((データ取得!$F$8:$F$22=C9)*(データ取得!$H$8:$H$22=D9),TIME(INT(データ取得!$E$8:$E$22/100),MOD(データ取得!$E$8:$E$22,100),0))))</f>
        <v>2.0833333333333332E-2</v>
      </c>
      <c r="F9" s="71"/>
      <c r="G9" s="10"/>
      <c r="H9" s="34"/>
    </row>
    <row r="10" spans="1:13" ht="19.5" thickBot="1">
      <c r="B10" s="42">
        <v>3</v>
      </c>
      <c r="C10" s="10" t="s">
        <v>23</v>
      </c>
      <c r="D10" s="10" t="s">
        <v>49</v>
      </c>
      <c r="E10" s="73">
        <f>IF(OR(C10="", D10=""), 0, IF(F10&lt;&gt;"",TIME(INT(F10/100),MOD(F10,100),0),SUMPRODUCT((データ取得!$F$8:$F$22=C10)*(データ取得!$H$8:$H$22=D10),TIME(INT(データ取得!$E$8:$E$22/100),MOD(データ取得!$E$8:$E$22,100),0))))</f>
        <v>2.0833333333333332E-2</v>
      </c>
      <c r="F10" s="71">
        <v>30</v>
      </c>
      <c r="G10" s="10"/>
      <c r="H10" s="34"/>
      <c r="L10" s="109">
        <v>45860</v>
      </c>
      <c r="M10" s="110">
        <v>45860</v>
      </c>
    </row>
    <row r="11" spans="1:13">
      <c r="B11" s="42">
        <v>4</v>
      </c>
      <c r="C11" s="10" t="s">
        <v>35</v>
      </c>
      <c r="D11" s="10" t="s">
        <v>50</v>
      </c>
      <c r="E11" s="7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1"/>
      <c r="G11" s="10"/>
      <c r="H11" s="34"/>
    </row>
    <row r="12" spans="1:13">
      <c r="B12" s="42">
        <v>5</v>
      </c>
      <c r="C12" s="10" t="s">
        <v>35</v>
      </c>
      <c r="D12" s="10" t="s">
        <v>52</v>
      </c>
      <c r="E12" s="7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71"/>
      <c r="G12" s="10"/>
      <c r="H12" s="34"/>
    </row>
    <row r="13" spans="1:13">
      <c r="B13" s="42">
        <v>6</v>
      </c>
      <c r="C13" s="10" t="s">
        <v>35</v>
      </c>
      <c r="D13" s="10" t="s">
        <v>51</v>
      </c>
      <c r="E13" s="7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1"/>
      <c r="G13" s="10"/>
      <c r="H13" s="34"/>
    </row>
    <row r="14" spans="1:13">
      <c r="B14" s="42">
        <v>7</v>
      </c>
      <c r="C14" s="10" t="s">
        <v>75</v>
      </c>
      <c r="D14" s="10" t="s">
        <v>77</v>
      </c>
      <c r="E14" s="7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1"/>
      <c r="G14" s="10"/>
      <c r="H14" s="34"/>
    </row>
    <row r="15" spans="1:13">
      <c r="B15" s="42">
        <v>8</v>
      </c>
      <c r="C15" s="10" t="s">
        <v>23</v>
      </c>
      <c r="D15" s="78">
        <v>44447777</v>
      </c>
      <c r="E15" s="7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1"/>
      <c r="G15" s="10"/>
      <c r="H15" s="34"/>
    </row>
    <row r="16" spans="1:13">
      <c r="B16" s="42">
        <v>9</v>
      </c>
      <c r="C16" s="10" t="s">
        <v>80</v>
      </c>
      <c r="D16" s="78">
        <v>456</v>
      </c>
      <c r="E16" s="7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1"/>
      <c r="G16" s="10"/>
      <c r="H16" s="34"/>
    </row>
    <row r="17" spans="2:9" ht="19.5" thickBot="1">
      <c r="B17" s="43">
        <v>10</v>
      </c>
      <c r="C17" s="35" t="s">
        <v>23</v>
      </c>
      <c r="D17" s="79">
        <v>456</v>
      </c>
      <c r="E17" s="74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2"/>
      <c r="G17" s="35"/>
      <c r="H17" s="36"/>
    </row>
    <row r="18" spans="2:9">
      <c r="D18" s="16" t="s">
        <v>85</v>
      </c>
      <c r="E18" s="40">
        <f>SUM(E8:E17)</f>
        <v>4.1666666666666664E-2</v>
      </c>
      <c r="G18" s="16" t="s">
        <v>61</v>
      </c>
      <c r="H18" s="69">
        <f>HOUR(E18)*60 + MINUTE(E18)</f>
        <v>60</v>
      </c>
    </row>
    <row r="19" spans="2:9">
      <c r="D19" s="46" t="s">
        <v>86</v>
      </c>
      <c r="E19" s="1"/>
    </row>
    <row r="21" spans="2:9" ht="19.5" thickBot="1"/>
    <row r="22" spans="2:9">
      <c r="E22" s="56" t="s">
        <v>70</v>
      </c>
    </row>
    <row r="23" spans="2:9" ht="19.5" thickBot="1">
      <c r="E23" s="55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conditionalFormatting sqref="M10">
    <cfRule type="expression" dxfId="1" priority="1">
      <formula>WEEKDAY($B10:$B$42,2) &gt;= 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workbookViewId="0">
      <selection activeCell="F16" sqref="F16"/>
    </sheetView>
  </sheetViews>
  <sheetFormatPr defaultRowHeight="18.75"/>
  <cols>
    <col min="1" max="1" width="4.875" customWidth="1"/>
    <col min="2" max="2" width="9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2" t="s">
        <v>91</v>
      </c>
      <c r="B1" s="81"/>
      <c r="C1" s="77"/>
      <c r="D1" s="83" t="s">
        <v>93</v>
      </c>
      <c r="E1" s="84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7" t="s">
        <v>55</v>
      </c>
      <c r="F2" s="47" t="s">
        <v>56</v>
      </c>
      <c r="G2" s="47" t="s">
        <v>57</v>
      </c>
      <c r="H2" s="85" t="s">
        <v>94</v>
      </c>
      <c r="J2" s="47" t="s">
        <v>90</v>
      </c>
    </row>
    <row r="3" spans="1:16">
      <c r="B3" s="1" t="s">
        <v>23</v>
      </c>
      <c r="C3" s="1"/>
      <c r="D3" s="66">
        <f>SUMIF($E$10:$N$10, B3, $E$43:$N$43)</f>
        <v>4.1666666666666664E-2</v>
      </c>
      <c r="E3" s="75">
        <f>HOUR(D3)*60 + MINUTE(D3)</f>
        <v>60</v>
      </c>
      <c r="F3" s="76">
        <v>7406</v>
      </c>
      <c r="G3" s="76">
        <f>F3-E3</f>
        <v>7346</v>
      </c>
      <c r="H3" s="66">
        <f>G3/1440</f>
        <v>5.1013888888888888</v>
      </c>
      <c r="I3" s="13"/>
      <c r="J3" s="116"/>
      <c r="K3" s="117"/>
      <c r="L3" s="117"/>
      <c r="M3" s="117"/>
      <c r="N3" s="117"/>
      <c r="O3" s="118"/>
    </row>
    <row r="4" spans="1:16">
      <c r="B4" s="1" t="s">
        <v>40</v>
      </c>
      <c r="C4" s="1"/>
      <c r="D4" s="66">
        <f>SUMIF($E$10:$N$10, B4, $E$43:$N$43)</f>
        <v>0</v>
      </c>
      <c r="E4" s="75">
        <f>DAY(D4)*1440+HOUR(D4)*60 + MINUTE(D4)</f>
        <v>0</v>
      </c>
      <c r="F4" s="76" t="s">
        <v>48</v>
      </c>
      <c r="G4" s="76" t="s">
        <v>48</v>
      </c>
      <c r="H4" s="66">
        <f>G3/1440</f>
        <v>5.1013888888888888</v>
      </c>
      <c r="J4" s="119"/>
      <c r="K4" s="120"/>
      <c r="L4" s="120"/>
      <c r="M4" s="120"/>
      <c r="N4" s="120"/>
      <c r="O4" s="121"/>
    </row>
    <row r="5" spans="1:16">
      <c r="B5" s="1"/>
      <c r="C5" s="1"/>
      <c r="D5" s="66">
        <v>0</v>
      </c>
      <c r="E5" s="75">
        <f>HOUR(D5)*60 + MINUTE(D5)</f>
        <v>0</v>
      </c>
      <c r="F5" s="76"/>
      <c r="G5" s="76"/>
      <c r="H5" s="1"/>
      <c r="J5" s="119"/>
      <c r="K5" s="120"/>
      <c r="L5" s="120"/>
      <c r="M5" s="120"/>
      <c r="N5" s="120"/>
      <c r="O5" s="121"/>
    </row>
    <row r="6" spans="1:16">
      <c r="B6" s="1"/>
      <c r="C6" s="1"/>
      <c r="D6" s="66"/>
      <c r="E6" s="75">
        <f>HOUR(D6)*60 + MINUTE(D6)</f>
        <v>0</v>
      </c>
      <c r="F6" s="76"/>
      <c r="G6" s="76"/>
      <c r="H6" s="1"/>
      <c r="J6" s="122"/>
      <c r="K6" s="123"/>
      <c r="L6" s="123"/>
      <c r="M6" s="123"/>
      <c r="N6" s="123"/>
      <c r="O6" s="124"/>
    </row>
    <row r="7" spans="1:16">
      <c r="B7" s="1"/>
      <c r="C7" s="1"/>
      <c r="D7" s="66"/>
      <c r="E7" s="75">
        <f>HOUR(D7)*60 + MINUTE(D7)</f>
        <v>0</v>
      </c>
      <c r="F7" s="76"/>
      <c r="G7" s="76"/>
      <c r="H7" s="1"/>
    </row>
    <row r="8" spans="1:16" ht="19.5">
      <c r="D8" s="67">
        <f>SUM(D3:D7)</f>
        <v>4.1666666666666664E-2</v>
      </c>
      <c r="E8" s="68"/>
      <c r="F8" s="48"/>
      <c r="G8" s="48"/>
      <c r="H8" s="48"/>
      <c r="I8" s="48"/>
      <c r="J8" s="48"/>
      <c r="K8" s="48"/>
      <c r="L8" s="48"/>
      <c r="M8" s="48"/>
      <c r="N8" s="48"/>
    </row>
    <row r="9" spans="1:16" ht="20.25" thickBot="1">
      <c r="C9" s="49"/>
      <c r="D9" s="50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4"/>
      <c r="B10" s="25" t="s">
        <v>47</v>
      </c>
      <c r="C10" s="30"/>
      <c r="D10" s="37" t="s">
        <v>24</v>
      </c>
      <c r="E10" s="53" t="s">
        <v>23</v>
      </c>
      <c r="F10" s="52" t="s">
        <v>23</v>
      </c>
      <c r="G10" s="52" t="s">
        <v>23</v>
      </c>
      <c r="H10" s="52" t="s">
        <v>35</v>
      </c>
      <c r="I10" s="52" t="s">
        <v>40</v>
      </c>
      <c r="J10" s="52" t="s">
        <v>35</v>
      </c>
      <c r="K10" s="52" t="s">
        <v>35</v>
      </c>
      <c r="L10" s="52"/>
      <c r="M10" s="58" t="s">
        <v>79</v>
      </c>
      <c r="N10" s="60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7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7" t="s">
        <v>73</v>
      </c>
      <c r="M11" s="57" t="s">
        <v>78</v>
      </c>
      <c r="N11" s="59" t="s">
        <v>76</v>
      </c>
    </row>
    <row r="12" spans="1:16">
      <c r="B12" s="106">
        <v>45901</v>
      </c>
      <c r="C12" s="91"/>
      <c r="D12" s="92"/>
      <c r="E12" s="93"/>
      <c r="F12" s="94"/>
      <c r="G12" s="94"/>
      <c r="H12" s="94"/>
      <c r="I12" s="94"/>
      <c r="J12" s="94"/>
      <c r="K12" s="94"/>
      <c r="L12" s="94"/>
      <c r="M12" s="94"/>
      <c r="N12" s="91"/>
      <c r="O12" s="77"/>
      <c r="P12" s="80">
        <f>IF(N(C12)&lt;&gt;0, C12 - TIME(7, 45, 0), C12)</f>
        <v>0</v>
      </c>
    </row>
    <row r="13" spans="1:16">
      <c r="B13" s="107">
        <v>45902</v>
      </c>
      <c r="C13" s="95"/>
      <c r="D13" s="96"/>
      <c r="E13" s="97"/>
      <c r="F13" s="99">
        <v>2.0833333333333332E-2</v>
      </c>
      <c r="G13" s="98"/>
      <c r="H13" s="98"/>
      <c r="I13" s="98"/>
      <c r="J13" s="98"/>
      <c r="K13" s="98"/>
      <c r="L13" s="98"/>
      <c r="M13" s="99">
        <v>2.0833333333333332E-2</v>
      </c>
      <c r="N13" s="95"/>
      <c r="O13" s="77"/>
      <c r="P13" s="80"/>
    </row>
    <row r="14" spans="1:16">
      <c r="B14" s="107">
        <v>45903</v>
      </c>
      <c r="C14" s="95"/>
      <c r="D14" s="96"/>
      <c r="E14" s="97"/>
      <c r="F14" s="98"/>
      <c r="G14" s="98"/>
      <c r="H14" s="98"/>
      <c r="I14" s="98"/>
      <c r="J14" s="98"/>
      <c r="K14" s="98"/>
      <c r="L14" s="98"/>
      <c r="M14" s="98"/>
      <c r="N14" s="95"/>
      <c r="O14" s="77"/>
      <c r="P14" s="80"/>
    </row>
    <row r="15" spans="1:16">
      <c r="B15" s="107">
        <v>45904</v>
      </c>
      <c r="C15" s="95"/>
      <c r="D15" s="96"/>
      <c r="E15" s="97"/>
      <c r="F15" s="98"/>
      <c r="G15" s="98"/>
      <c r="H15" s="98"/>
      <c r="I15" s="98"/>
      <c r="J15" s="98"/>
      <c r="K15" s="98"/>
      <c r="L15" s="98"/>
      <c r="M15" s="98"/>
      <c r="N15" s="95"/>
      <c r="O15" s="77"/>
      <c r="P15" s="80"/>
    </row>
    <row r="16" spans="1:16">
      <c r="B16" s="107">
        <v>45905</v>
      </c>
      <c r="C16" s="95"/>
      <c r="D16" s="96"/>
      <c r="E16" s="97"/>
      <c r="F16" s="98"/>
      <c r="G16" s="98"/>
      <c r="H16" s="98"/>
      <c r="I16" s="98"/>
      <c r="J16" s="98"/>
      <c r="K16" s="98"/>
      <c r="L16" s="98"/>
      <c r="M16" s="98"/>
      <c r="N16" s="95"/>
      <c r="O16" s="77"/>
      <c r="P16" s="80"/>
    </row>
    <row r="17" spans="2:16">
      <c r="B17" s="107">
        <v>45906</v>
      </c>
      <c r="C17" s="95"/>
      <c r="D17" s="96"/>
      <c r="E17" s="97"/>
      <c r="F17" s="98"/>
      <c r="G17" s="98"/>
      <c r="H17" s="98"/>
      <c r="I17" s="98"/>
      <c r="J17" s="98"/>
      <c r="K17" s="98"/>
      <c r="L17" s="98"/>
      <c r="M17" s="98"/>
      <c r="N17" s="95"/>
      <c r="O17" s="77"/>
      <c r="P17" s="80"/>
    </row>
    <row r="18" spans="2:16">
      <c r="B18" s="107">
        <v>45907</v>
      </c>
      <c r="C18" s="95"/>
      <c r="D18" s="96"/>
      <c r="E18" s="97"/>
      <c r="F18" s="98"/>
      <c r="G18" s="98"/>
      <c r="H18" s="98"/>
      <c r="I18" s="98"/>
      <c r="J18" s="98"/>
      <c r="K18" s="98"/>
      <c r="L18" s="98"/>
      <c r="M18" s="98"/>
      <c r="N18" s="95"/>
      <c r="O18" s="77"/>
      <c r="P18" s="80"/>
    </row>
    <row r="19" spans="2:16">
      <c r="B19" s="107">
        <v>45908</v>
      </c>
      <c r="C19" s="95"/>
      <c r="D19" s="96"/>
      <c r="E19" s="97"/>
      <c r="F19" s="98"/>
      <c r="G19" s="98"/>
      <c r="H19" s="98"/>
      <c r="I19" s="98"/>
      <c r="J19" s="98"/>
      <c r="K19" s="98"/>
      <c r="L19" s="98"/>
      <c r="M19" s="98"/>
      <c r="N19" s="95"/>
      <c r="O19" s="77"/>
      <c r="P19" s="80"/>
    </row>
    <row r="20" spans="2:16">
      <c r="B20" s="107">
        <v>45909</v>
      </c>
      <c r="C20" s="95"/>
      <c r="D20" s="96"/>
      <c r="E20" s="97"/>
      <c r="F20" s="98"/>
      <c r="G20" s="98"/>
      <c r="H20" s="98"/>
      <c r="I20" s="98"/>
      <c r="J20" s="98"/>
      <c r="K20" s="98"/>
      <c r="L20" s="98"/>
      <c r="M20" s="98"/>
      <c r="N20" s="95"/>
      <c r="O20" s="77"/>
      <c r="P20" s="80"/>
    </row>
    <row r="21" spans="2:16">
      <c r="B21" s="107">
        <v>45910</v>
      </c>
      <c r="C21" s="95"/>
      <c r="D21" s="96"/>
      <c r="E21" s="97"/>
      <c r="F21" s="98"/>
      <c r="G21" s="98"/>
      <c r="H21" s="98"/>
      <c r="I21" s="98"/>
      <c r="J21" s="98"/>
      <c r="K21" s="98"/>
      <c r="L21" s="98"/>
      <c r="M21" s="98"/>
      <c r="N21" s="95"/>
      <c r="O21" s="77"/>
      <c r="P21" s="80"/>
    </row>
    <row r="22" spans="2:16">
      <c r="B22" s="107">
        <v>45911</v>
      </c>
      <c r="C22" s="95"/>
      <c r="D22" s="96"/>
      <c r="E22" s="97"/>
      <c r="F22" s="98"/>
      <c r="G22" s="98"/>
      <c r="H22" s="98"/>
      <c r="I22" s="98"/>
      <c r="J22" s="98"/>
      <c r="K22" s="98"/>
      <c r="L22" s="98"/>
      <c r="M22" s="98"/>
      <c r="N22" s="95"/>
      <c r="O22" s="77"/>
      <c r="P22" s="80"/>
    </row>
    <row r="23" spans="2:16">
      <c r="B23" s="107">
        <v>45912</v>
      </c>
      <c r="C23" s="95"/>
      <c r="D23" s="96"/>
      <c r="E23" s="97"/>
      <c r="F23" s="98"/>
      <c r="G23" s="98"/>
      <c r="H23" s="98"/>
      <c r="I23" s="98"/>
      <c r="J23" s="98"/>
      <c r="K23" s="98"/>
      <c r="L23" s="98"/>
      <c r="M23" s="98"/>
      <c r="N23" s="95"/>
      <c r="O23" s="77"/>
      <c r="P23" s="80"/>
    </row>
    <row r="24" spans="2:16">
      <c r="B24" s="107">
        <v>45913</v>
      </c>
      <c r="C24" s="95"/>
      <c r="D24" s="96"/>
      <c r="E24" s="97"/>
      <c r="F24" s="98"/>
      <c r="G24" s="98"/>
      <c r="H24" s="98"/>
      <c r="I24" s="98"/>
      <c r="J24" s="98"/>
      <c r="K24" s="98"/>
      <c r="L24" s="98"/>
      <c r="M24" s="98"/>
      <c r="N24" s="95"/>
      <c r="O24" s="77"/>
      <c r="P24" s="80"/>
    </row>
    <row r="25" spans="2:16">
      <c r="B25" s="107">
        <v>45914</v>
      </c>
      <c r="C25" s="95"/>
      <c r="D25" s="96"/>
      <c r="E25" s="97"/>
      <c r="F25" s="98"/>
      <c r="G25" s="98"/>
      <c r="H25" s="98"/>
      <c r="I25" s="98"/>
      <c r="J25" s="98"/>
      <c r="K25" s="98"/>
      <c r="L25" s="98"/>
      <c r="M25" s="98"/>
      <c r="N25" s="95"/>
      <c r="O25" s="77"/>
      <c r="P25" s="80"/>
    </row>
    <row r="26" spans="2:16">
      <c r="B26" s="107">
        <v>45915</v>
      </c>
      <c r="C26" s="95"/>
      <c r="D26" s="96"/>
      <c r="E26" s="97"/>
      <c r="F26" s="98"/>
      <c r="G26" s="98"/>
      <c r="H26" s="98"/>
      <c r="I26" s="98"/>
      <c r="J26" s="98"/>
      <c r="K26" s="98"/>
      <c r="L26" s="98"/>
      <c r="M26" s="98"/>
      <c r="N26" s="95"/>
      <c r="O26" s="77"/>
      <c r="P26" s="80"/>
    </row>
    <row r="27" spans="2:16">
      <c r="B27" s="107">
        <v>45916</v>
      </c>
      <c r="C27" s="95"/>
      <c r="D27" s="96"/>
      <c r="E27" s="97"/>
      <c r="F27" s="98"/>
      <c r="G27" s="98"/>
      <c r="H27" s="98"/>
      <c r="I27" s="98"/>
      <c r="J27" s="98"/>
      <c r="K27" s="98"/>
      <c r="L27" s="98"/>
      <c r="M27" s="98"/>
      <c r="N27" s="95"/>
      <c r="O27" s="77"/>
      <c r="P27" s="80"/>
    </row>
    <row r="28" spans="2:16">
      <c r="B28" s="107">
        <v>45917</v>
      </c>
      <c r="C28" s="95"/>
      <c r="D28" s="96"/>
      <c r="E28" s="97"/>
      <c r="F28" s="98"/>
      <c r="G28" s="98"/>
      <c r="H28" s="98"/>
      <c r="I28" s="98"/>
      <c r="J28" s="98"/>
      <c r="K28" s="98"/>
      <c r="L28" s="98"/>
      <c r="M28" s="98"/>
      <c r="N28" s="95"/>
      <c r="O28" s="77"/>
      <c r="P28" s="80"/>
    </row>
    <row r="29" spans="2:16">
      <c r="B29" s="107">
        <v>45918</v>
      </c>
      <c r="C29" s="95"/>
      <c r="D29" s="96"/>
      <c r="E29" s="97"/>
      <c r="F29" s="98"/>
      <c r="G29" s="98"/>
      <c r="H29" s="98"/>
      <c r="I29" s="98"/>
      <c r="J29" s="98"/>
      <c r="K29" s="98"/>
      <c r="L29" s="98"/>
      <c r="M29" s="98"/>
      <c r="N29" s="95"/>
      <c r="O29" s="77"/>
      <c r="P29" s="80"/>
    </row>
    <row r="30" spans="2:16">
      <c r="B30" s="107">
        <v>45919</v>
      </c>
      <c r="C30" s="95"/>
      <c r="D30" s="96"/>
      <c r="E30" s="97"/>
      <c r="F30" s="98"/>
      <c r="G30" s="98"/>
      <c r="H30" s="98"/>
      <c r="I30" s="98"/>
      <c r="J30" s="98"/>
      <c r="K30" s="98"/>
      <c r="L30" s="98"/>
      <c r="M30" s="98"/>
      <c r="N30" s="95"/>
      <c r="O30" s="77"/>
      <c r="P30" s="80"/>
    </row>
    <row r="31" spans="2:16">
      <c r="B31" s="107">
        <v>45920</v>
      </c>
      <c r="C31" s="95"/>
      <c r="D31" s="96"/>
      <c r="E31" s="97"/>
      <c r="F31" s="98"/>
      <c r="G31" s="98"/>
      <c r="H31" s="98"/>
      <c r="I31" s="98"/>
      <c r="J31" s="98"/>
      <c r="K31" s="98"/>
      <c r="L31" s="98"/>
      <c r="M31" s="98"/>
      <c r="N31" s="95"/>
      <c r="O31" s="77"/>
      <c r="P31" s="80"/>
    </row>
    <row r="32" spans="2:16">
      <c r="B32" s="107">
        <v>45921</v>
      </c>
      <c r="C32" s="95"/>
      <c r="D32" s="96"/>
      <c r="E32" s="97"/>
      <c r="F32" s="98"/>
      <c r="G32" s="98"/>
      <c r="H32" s="98"/>
      <c r="I32" s="98"/>
      <c r="J32" s="98"/>
      <c r="K32" s="98"/>
      <c r="L32" s="98"/>
      <c r="M32" s="99"/>
      <c r="N32" s="95"/>
      <c r="O32" s="77"/>
      <c r="P32" s="80"/>
    </row>
    <row r="33" spans="1:17">
      <c r="A33" s="64"/>
      <c r="B33" s="107">
        <v>45922</v>
      </c>
      <c r="C33" s="95"/>
      <c r="D33" s="96"/>
      <c r="E33" s="97"/>
      <c r="F33" s="99"/>
      <c r="G33" s="98"/>
      <c r="H33" s="98"/>
      <c r="I33" s="98"/>
      <c r="J33" s="98"/>
      <c r="K33" s="98"/>
      <c r="L33" s="98"/>
      <c r="M33" s="99"/>
      <c r="N33" s="95"/>
      <c r="O33" s="77"/>
      <c r="P33" s="80"/>
    </row>
    <row r="34" spans="1:17">
      <c r="A34" s="65"/>
      <c r="B34" s="107">
        <v>45923</v>
      </c>
      <c r="C34" s="95"/>
      <c r="D34" s="96"/>
      <c r="E34" s="97"/>
      <c r="F34" s="98"/>
      <c r="G34" s="98"/>
      <c r="H34" s="98"/>
      <c r="I34" s="99"/>
      <c r="J34" s="98"/>
      <c r="K34" s="98"/>
      <c r="L34" s="98"/>
      <c r="M34" s="99"/>
      <c r="N34" s="95"/>
      <c r="O34" s="77"/>
      <c r="P34" s="80"/>
    </row>
    <row r="35" spans="1:17">
      <c r="B35" s="107">
        <v>45924</v>
      </c>
      <c r="C35" s="95"/>
      <c r="D35" s="96"/>
      <c r="E35" s="100"/>
      <c r="F35" s="100"/>
      <c r="G35" s="100"/>
      <c r="H35" s="100"/>
      <c r="I35" s="100"/>
      <c r="J35" s="100"/>
      <c r="K35" s="98"/>
      <c r="L35" s="100"/>
      <c r="M35" s="98"/>
      <c r="N35" s="95"/>
      <c r="O35" s="77"/>
      <c r="P35" s="80"/>
    </row>
    <row r="36" spans="1:17">
      <c r="B36" s="107">
        <v>45925</v>
      </c>
      <c r="C36" s="95"/>
      <c r="D36" s="96"/>
      <c r="E36" s="101"/>
      <c r="F36" s="98"/>
      <c r="G36" s="98"/>
      <c r="H36" s="98"/>
      <c r="I36" s="98"/>
      <c r="J36" s="98"/>
      <c r="K36" s="98"/>
      <c r="L36" s="98"/>
      <c r="M36" s="98"/>
      <c r="N36" s="95"/>
      <c r="O36" s="77"/>
      <c r="P36" s="80"/>
    </row>
    <row r="37" spans="1:17">
      <c r="B37" s="107">
        <v>45926</v>
      </c>
      <c r="C37" s="95"/>
      <c r="D37" s="96"/>
      <c r="E37" s="97"/>
      <c r="F37" s="98"/>
      <c r="G37" s="98"/>
      <c r="H37" s="98"/>
      <c r="I37" s="98"/>
      <c r="J37" s="98"/>
      <c r="K37" s="98"/>
      <c r="L37" s="98"/>
      <c r="M37" s="98"/>
      <c r="N37" s="95"/>
      <c r="O37" s="77"/>
      <c r="P37" s="80"/>
    </row>
    <row r="38" spans="1:17">
      <c r="B38" s="107">
        <v>45927</v>
      </c>
      <c r="C38" s="95"/>
      <c r="D38" s="96"/>
      <c r="E38" s="97"/>
      <c r="F38" s="98"/>
      <c r="G38" s="98"/>
      <c r="H38" s="98"/>
      <c r="I38" s="98"/>
      <c r="J38" s="98"/>
      <c r="K38" s="98"/>
      <c r="L38" s="98"/>
      <c r="M38" s="98"/>
      <c r="N38" s="95"/>
      <c r="O38" s="77"/>
      <c r="P38" s="80"/>
    </row>
    <row r="39" spans="1:17">
      <c r="A39" s="39"/>
      <c r="B39" s="107">
        <v>45928</v>
      </c>
      <c r="C39" s="95"/>
      <c r="D39" s="96"/>
      <c r="E39" s="97"/>
      <c r="F39" s="98"/>
      <c r="G39" s="98"/>
      <c r="H39" s="98"/>
      <c r="I39" s="99"/>
      <c r="J39" s="98"/>
      <c r="K39" s="98"/>
      <c r="L39" s="98"/>
      <c r="M39" s="99"/>
      <c r="N39" s="95"/>
      <c r="O39" s="77"/>
      <c r="P39" s="80"/>
    </row>
    <row r="40" spans="1:17">
      <c r="B40" s="107">
        <v>45929</v>
      </c>
      <c r="C40" s="95"/>
      <c r="D40" s="96"/>
      <c r="E40" s="97"/>
      <c r="F40" s="99"/>
      <c r="G40" s="98"/>
      <c r="H40" s="98"/>
      <c r="I40" s="99"/>
      <c r="J40" s="98"/>
      <c r="K40" s="98"/>
      <c r="L40" s="98"/>
      <c r="M40" s="99"/>
      <c r="N40" s="95"/>
      <c r="O40" s="77"/>
      <c r="P40" s="80"/>
    </row>
    <row r="41" spans="1:17">
      <c r="B41" s="107">
        <v>45930</v>
      </c>
      <c r="C41" s="95"/>
      <c r="D41" s="96"/>
      <c r="E41" s="97"/>
      <c r="F41" s="98"/>
      <c r="G41" s="98"/>
      <c r="H41" s="98"/>
      <c r="I41" s="98"/>
      <c r="J41" s="98"/>
      <c r="K41" s="98"/>
      <c r="L41" s="98"/>
      <c r="M41" s="98"/>
      <c r="N41" s="95"/>
      <c r="O41" s="77"/>
      <c r="P41" s="80"/>
    </row>
    <row r="42" spans="1:17" ht="19.5" thickBot="1">
      <c r="B42" s="108">
        <v>45869</v>
      </c>
      <c r="C42" s="95"/>
      <c r="D42" s="102"/>
      <c r="E42" s="103"/>
      <c r="F42" s="104"/>
      <c r="G42" s="104"/>
      <c r="H42" s="104"/>
      <c r="I42" s="104"/>
      <c r="J42" s="104"/>
      <c r="K42" s="104"/>
      <c r="L42" s="104"/>
      <c r="M42" s="104"/>
      <c r="N42" s="105"/>
      <c r="O42" s="77"/>
      <c r="P42" s="80"/>
    </row>
    <row r="43" spans="1:17" ht="19.5" thickBot="1">
      <c r="B43" s="89" t="s">
        <v>46</v>
      </c>
      <c r="C43" s="90">
        <f>SUM(C35:C42)</f>
        <v>0</v>
      </c>
      <c r="D43" s="86" t="s">
        <v>46</v>
      </c>
      <c r="E43" s="87">
        <f>SUM(E12:E42)</f>
        <v>0</v>
      </c>
      <c r="F43" s="88">
        <f>SUM(F12:F42)</f>
        <v>2.0833333333333332E-2</v>
      </c>
      <c r="G43" s="88">
        <f t="shared" ref="G43:N43" si="0">SUM(G12:G42)</f>
        <v>0</v>
      </c>
      <c r="H43" s="88">
        <f t="shared" si="0"/>
        <v>0</v>
      </c>
      <c r="I43" s="88">
        <f t="shared" si="0"/>
        <v>0</v>
      </c>
      <c r="J43" s="88">
        <f t="shared" si="0"/>
        <v>0</v>
      </c>
      <c r="K43" s="88">
        <f t="shared" si="0"/>
        <v>0</v>
      </c>
      <c r="L43" s="88">
        <f t="shared" si="0"/>
        <v>0</v>
      </c>
      <c r="M43" s="88">
        <f t="shared" si="0"/>
        <v>2.0833333333333332E-2</v>
      </c>
      <c r="N43" s="88">
        <f t="shared" si="0"/>
        <v>0</v>
      </c>
      <c r="O43" s="77"/>
      <c r="P43" s="61">
        <f>SUM(P12:P42)</f>
        <v>0</v>
      </c>
      <c r="Q43" s="62">
        <f>SUM(E43:N43)</f>
        <v>4.1666666666666664E-2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G12" sqref="G1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1" t="s">
        <v>63</v>
      </c>
      <c r="B1" s="51" t="s">
        <v>64</v>
      </c>
      <c r="C1" s="51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E04F1-1AC1-46AA-8BA7-4A940DFE0ACD}">
  <sheetPr codeName="Sheet10"/>
  <dimension ref="A1:E43"/>
  <sheetViews>
    <sheetView workbookViewId="0">
      <selection activeCell="C4" sqref="C4"/>
    </sheetView>
  </sheetViews>
  <sheetFormatPr defaultRowHeight="18.75"/>
  <cols>
    <col min="1" max="1" width="10.875" bestFit="1" customWidth="1"/>
    <col min="2" max="2" width="5.5" bestFit="1" customWidth="1"/>
    <col min="3" max="3" width="14.125" customWidth="1"/>
    <col min="4" max="4" width="46.5" customWidth="1"/>
    <col min="5" max="5" width="14.875" bestFit="1" customWidth="1"/>
  </cols>
  <sheetData>
    <row r="1" spans="1:5">
      <c r="A1" s="44" t="s">
        <v>135</v>
      </c>
      <c r="B1" s="44" t="s">
        <v>136</v>
      </c>
      <c r="C1" s="44" t="s">
        <v>181</v>
      </c>
      <c r="D1" s="44" t="s">
        <v>182</v>
      </c>
      <c r="E1" s="44" t="s">
        <v>183</v>
      </c>
    </row>
    <row r="2" spans="1:5">
      <c r="A2" t="s">
        <v>137</v>
      </c>
      <c r="B2" t="s">
        <v>138</v>
      </c>
      <c r="C2" s="126">
        <f ca="1">データ取得!C3</f>
        <v>45860</v>
      </c>
      <c r="D2" t="str">
        <f ca="1">_xlfn.FORMULATEXT(データ取得!C3)</f>
        <v>=IF($C$4&lt;&gt;"",$C$4,WORKDAY(TODAY(),-1))</v>
      </c>
      <c r="E2" s="125">
        <v>45860</v>
      </c>
    </row>
    <row r="3" spans="1:5">
      <c r="A3" t="s">
        <v>137</v>
      </c>
      <c r="B3" t="s">
        <v>139</v>
      </c>
      <c r="C3" s="127" t="str">
        <f ca="1">データ取得!D3</f>
        <v>火曜日</v>
      </c>
      <c r="D3" t="str">
        <f ca="1">_xlfn.FORMULATEXT(データ取得!D3)</f>
        <v>=TEXT(C3,"aaaa")</v>
      </c>
      <c r="E3" t="s">
        <v>140</v>
      </c>
    </row>
    <row r="4" spans="1:5">
      <c r="A4" t="s">
        <v>141</v>
      </c>
      <c r="B4" t="s">
        <v>139</v>
      </c>
      <c r="C4" s="128">
        <f ca="1">データ登録!D3</f>
        <v>45933</v>
      </c>
      <c r="D4" t="str">
        <f ca="1">_xlfn.FORMULATEXT(データ登録!D3)</f>
        <v>=IF($D$4&lt;&gt;"",$D$4,WORKDAY(TODAY(),-1))</v>
      </c>
      <c r="E4" s="125">
        <v>45933</v>
      </c>
    </row>
    <row r="5" spans="1:5">
      <c r="A5" t="s">
        <v>141</v>
      </c>
      <c r="B5" t="s">
        <v>142</v>
      </c>
      <c r="C5" s="127" t="str">
        <f ca="1">データ登録!E3</f>
        <v>金曜日</v>
      </c>
      <c r="D5" t="str">
        <f ca="1">_xlfn.FORMULATEXT(データ登録!E3)</f>
        <v>=TEXT(D3,"aaaa")</v>
      </c>
      <c r="E5" t="s">
        <v>143</v>
      </c>
    </row>
    <row r="6" spans="1:5">
      <c r="A6" t="s">
        <v>141</v>
      </c>
      <c r="B6" t="s">
        <v>144</v>
      </c>
      <c r="C6" s="39">
        <f>データ登録!E8</f>
        <v>0</v>
      </c>
      <c r="D6" t="str">
        <f ca="1">_xlfn.FORMULATEXT(データ登録!E8)</f>
        <v>=IF(OR(C8="", D8=""), 0, IF(F8&lt;&gt;"",TIME(INT(F8/100),MOD(F8,100),0),SUMPRODUCT((データ取得!$F$8:$F$22=C8)*(データ取得!$H$8:$H$22=D8),TIME(INT(データ取得!$E$8:$E$22/100),MOD(データ取得!$E$8:$E$22,100),0))))</v>
      </c>
      <c r="E6">
        <v>0</v>
      </c>
    </row>
    <row r="7" spans="1:5">
      <c r="A7" t="s">
        <v>141</v>
      </c>
      <c r="B7" t="s">
        <v>145</v>
      </c>
      <c r="C7" s="39">
        <f>データ登録!E9</f>
        <v>2.0833333333333332E-2</v>
      </c>
      <c r="D7" t="str">
        <f ca="1">_xlfn.FORMULATEXT(データ登録!E9)</f>
        <v>=IF(OR(C9="", D9=""), 0, IF(F9&lt;&gt;"",TIME(INT(F9/100),MOD(F9,100),0),SUMPRODUCT((データ取得!$F$8:$F$22=C9)*(データ取得!$H$8:$H$22=D9),TIME(INT(データ取得!$E$8:$E$22/100),MOD(データ取得!$E$8:$E$22,100),0))))</v>
      </c>
      <c r="E7">
        <v>2.0833333333333332E-2</v>
      </c>
    </row>
    <row r="8" spans="1:5">
      <c r="A8" t="s">
        <v>141</v>
      </c>
      <c r="B8" t="s">
        <v>146</v>
      </c>
      <c r="C8" s="39">
        <f>データ登録!E10</f>
        <v>2.0833333333333332E-2</v>
      </c>
      <c r="D8" t="str">
        <f ca="1">_xlfn.FORMULATEXT(データ登録!E10)</f>
        <v>=IF(OR(C10="", D10=""), 0, IF(F10&lt;&gt;"",TIME(INT(F10/100),MOD(F10,100),0),SUMPRODUCT((データ取得!$F$8:$F$22=C10)*(データ取得!$H$8:$H$22=D10),TIME(INT(データ取得!$E$8:$E$22/100),MOD(データ取得!$E$8:$E$22,100),0))))</v>
      </c>
      <c r="E8">
        <v>2.0833333333333332E-2</v>
      </c>
    </row>
    <row r="9" spans="1:5">
      <c r="A9" t="s">
        <v>141</v>
      </c>
      <c r="B9" t="s">
        <v>147</v>
      </c>
      <c r="C9" s="39">
        <f>データ登録!E11</f>
        <v>0</v>
      </c>
      <c r="D9" t="str">
        <f ca="1">_xlfn.FORMULATEXT(データ登録!E11)</f>
        <v>=IF(OR(C11="", D11=""), 0, IF(F11&lt;&gt;"",TIME(INT(F11/100),MOD(F11,100),0),SUMPRODUCT((データ取得!$F$8:$F$22=C11)*(データ取得!$H$8:$H$22=D11),TIME(INT(データ取得!$E$8:$E$22/100),MOD(データ取得!$E$8:$E$22,100),0))))</v>
      </c>
      <c r="E9">
        <v>0</v>
      </c>
    </row>
    <row r="10" spans="1:5">
      <c r="A10" t="s">
        <v>141</v>
      </c>
      <c r="B10" t="s">
        <v>148</v>
      </c>
      <c r="C10" s="39">
        <f>データ登録!E12</f>
        <v>0</v>
      </c>
      <c r="D10" t="str">
        <f ca="1">_xlfn.FORMULATEXT(データ登録!E12)</f>
        <v>=IF(OR(C12="", D12=""), 0, IF(F12&lt;&gt;"",TIME(INT(F12/100),MOD(F12,100),0),SUMPRODUCT((データ取得!$F$8:$F$22=C12)*(データ取得!$H$8:$H$22=D12),TIME(INT(データ取得!$E$8:$E$22/100),MOD(データ取得!$E$8:$E$22,100),0))))</v>
      </c>
      <c r="E10">
        <v>0</v>
      </c>
    </row>
    <row r="11" spans="1:5">
      <c r="A11" t="s">
        <v>141</v>
      </c>
      <c r="B11" t="s">
        <v>149</v>
      </c>
      <c r="C11" s="39">
        <f>データ登録!E13</f>
        <v>0</v>
      </c>
      <c r="D11" t="str">
        <f ca="1">_xlfn.FORMULATEXT(データ登録!E13)</f>
        <v>=IF(OR(C13="", D13=""), 0, IF(F13&lt;&gt;"",TIME(INT(F13/100),MOD(F13,100),0),SUMPRODUCT((データ取得!$F$8:$F$22=C13)*(データ取得!$H$8:$H$22=D13),TIME(INT(データ取得!$E$8:$E$22/100),MOD(データ取得!$E$8:$E$22,100),0))))</v>
      </c>
      <c r="E11">
        <v>0</v>
      </c>
    </row>
    <row r="12" spans="1:5">
      <c r="A12" t="s">
        <v>141</v>
      </c>
      <c r="B12" t="s">
        <v>150</v>
      </c>
      <c r="C12" s="39">
        <f>データ登録!E14</f>
        <v>0</v>
      </c>
      <c r="D12" t="str">
        <f ca="1">_xlfn.FORMULATEXT(データ登録!E14)</f>
        <v>=IF(OR(C14="", D14=""), 0, IF(F14&lt;&gt;"",TIME(INT(F14/100),MOD(F14,100),0),SUMPRODUCT((データ取得!$F$8:$F$22=C14)*(データ取得!$H$8:$H$22=D14),TIME(INT(データ取得!$E$8:$E$22/100),MOD(データ取得!$E$8:$E$22,100),0))))</v>
      </c>
      <c r="E12">
        <v>0</v>
      </c>
    </row>
    <row r="13" spans="1:5">
      <c r="A13" t="s">
        <v>141</v>
      </c>
      <c r="B13" t="s">
        <v>151</v>
      </c>
      <c r="C13" s="39">
        <f>データ登録!E15</f>
        <v>0</v>
      </c>
      <c r="D13" t="str">
        <f ca="1">_xlfn.FORMULATEXT(データ登録!E15)</f>
        <v>=IF(OR(C15="", D15=""), 0, IF(F15&lt;&gt;"",TIME(INT(F15/100),MOD(F15,100),0),SUMPRODUCT((データ取得!$F$8:$F$22=C15)*(データ取得!$H$8:$H$22=D15),TIME(INT(データ取得!$E$8:$E$22/100),MOD(データ取得!$E$8:$E$22,100),0))))</v>
      </c>
      <c r="E13">
        <v>0</v>
      </c>
    </row>
    <row r="14" spans="1:5">
      <c r="A14" t="s">
        <v>141</v>
      </c>
      <c r="B14" t="s">
        <v>152</v>
      </c>
      <c r="C14" s="39">
        <f>データ登録!E16</f>
        <v>0</v>
      </c>
      <c r="D14" t="str">
        <f ca="1">_xlfn.FORMULATEXT(データ登録!E16)</f>
        <v>=IF(OR(C16="", D16=""), 0, IF(F16&lt;&gt;"",TIME(INT(F16/100),MOD(F16,100),0),SUMPRODUCT((データ取得!$F$8:$F$22=C16)*(データ取得!$H$8:$H$22=D16),TIME(INT(データ取得!$E$8:$E$22/100),MOD(データ取得!$E$8:$E$22,100),0))))</v>
      </c>
      <c r="E14">
        <v>0</v>
      </c>
    </row>
    <row r="15" spans="1:5">
      <c r="A15" t="s">
        <v>141</v>
      </c>
      <c r="B15" t="s">
        <v>153</v>
      </c>
      <c r="C15" s="39">
        <f>データ登録!E17</f>
        <v>0</v>
      </c>
      <c r="D15" t="str">
        <f ca="1">_xlfn.FORMULATEXT(データ登録!E17)</f>
        <v>=IF(OR(C17="", D17=""), 0, IF(F17&lt;&gt;"",TIME(INT(F17/100),MOD(F17,100),0),SUMPRODUCT((データ取得!$F$8:$F$22=C17)*(データ取得!$H$8:$H$22=D17),TIME(INT(データ取得!$E$8:$E$22/100),MOD(データ取得!$E$8:$E$22,100),0))))</v>
      </c>
      <c r="E15">
        <v>0</v>
      </c>
    </row>
    <row r="16" spans="1:5">
      <c r="A16" t="s">
        <v>141</v>
      </c>
      <c r="B16" t="s">
        <v>154</v>
      </c>
      <c r="C16" s="39">
        <f>データ登録!E18</f>
        <v>4.1666666666666664E-2</v>
      </c>
      <c r="D16" t="str">
        <f ca="1">_xlfn.FORMULATEXT(データ登録!E18)</f>
        <v>=SUM(E8:E17)</v>
      </c>
      <c r="E16">
        <v>4.1666666666666664E-2</v>
      </c>
    </row>
    <row r="17" spans="1:5">
      <c r="A17" t="s">
        <v>141</v>
      </c>
      <c r="B17" t="s">
        <v>155</v>
      </c>
      <c r="C17" s="129">
        <f>データ登録!H18</f>
        <v>60</v>
      </c>
      <c r="D17" t="str">
        <f ca="1">_xlfn.FORMULATEXT(データ登録!H18)</f>
        <v>=HOUR(E18)*60 + MINUTE(E18)</v>
      </c>
      <c r="E17">
        <v>60</v>
      </c>
    </row>
    <row r="18" spans="1:5">
      <c r="A18" t="s">
        <v>141</v>
      </c>
      <c r="B18" t="s">
        <v>156</v>
      </c>
      <c r="C18" s="39">
        <f>データ登録!E23</f>
        <v>0</v>
      </c>
      <c r="D18" t="str">
        <f ca="1">_xlfn.FORMULATEXT(データ登録!E23)</f>
        <v>=IF(F22&lt;&gt;"",TIME(INT(F22/100),MOD(F22,100),0),SUMPRODUCT(
   (データ取得!$F$8:$F$22=C22)*(データ取得!$H$8:$H$22=D22),
   TIME(INT(データ取得!$E$8:$E$22/100), MOD(データ取得!$E$8:$E$22,100), 0)
))</v>
      </c>
      <c r="E18">
        <v>0</v>
      </c>
    </row>
    <row r="19" spans="1:5">
      <c r="A19" t="s">
        <v>157</v>
      </c>
      <c r="B19" t="s">
        <v>158</v>
      </c>
      <c r="C19" s="130">
        <f>月次データ!G3</f>
        <v>7346</v>
      </c>
      <c r="D19" t="str">
        <f ca="1">_xlfn.FORMULATEXT(月次データ!G3)</f>
        <v>=F3-E3</v>
      </c>
      <c r="E19">
        <v>7346</v>
      </c>
    </row>
    <row r="20" spans="1:5">
      <c r="A20" t="s">
        <v>157</v>
      </c>
      <c r="B20" t="s">
        <v>139</v>
      </c>
      <c r="C20" s="61">
        <f>月次データ!D3</f>
        <v>4.1666666666666664E-2</v>
      </c>
      <c r="D20" t="str">
        <f ca="1">_xlfn.FORMULATEXT(月次データ!D3)</f>
        <v>=SUMIF($E$10:$N$10, B3, $E$43:$N$43)</v>
      </c>
      <c r="E20">
        <v>4.1666666666666664E-2</v>
      </c>
    </row>
    <row r="21" spans="1:5">
      <c r="A21" t="s">
        <v>157</v>
      </c>
      <c r="B21" t="s">
        <v>159</v>
      </c>
      <c r="C21" s="61">
        <f>月次データ!D4</f>
        <v>0</v>
      </c>
      <c r="D21" t="str">
        <f ca="1">_xlfn.FORMULATEXT(月次データ!D4)</f>
        <v>=SUMIF($E$10:$N$10, B4, $E$43:$N$43)</v>
      </c>
      <c r="E21">
        <v>0</v>
      </c>
    </row>
    <row r="22" spans="1:5">
      <c r="A22" t="s">
        <v>157</v>
      </c>
      <c r="B22" t="s">
        <v>160</v>
      </c>
      <c r="C22" s="61">
        <f>月次データ!H3</f>
        <v>5.1013888888888888</v>
      </c>
      <c r="D22" t="str">
        <f ca="1">_xlfn.FORMULATEXT(月次データ!H3)</f>
        <v>=G3/1440</v>
      </c>
      <c r="E22">
        <v>5.1013888888888888</v>
      </c>
    </row>
    <row r="23" spans="1:5">
      <c r="A23" t="s">
        <v>157</v>
      </c>
      <c r="B23" t="s">
        <v>161</v>
      </c>
      <c r="C23" s="61">
        <f>月次データ!H4</f>
        <v>5.1013888888888888</v>
      </c>
      <c r="D23" t="str">
        <f ca="1">_xlfn.FORMULATEXT(月次データ!H4)</f>
        <v>=G3/1440</v>
      </c>
      <c r="E23">
        <v>5.1013888888888888</v>
      </c>
    </row>
    <row r="24" spans="1:5">
      <c r="A24" t="s">
        <v>157</v>
      </c>
      <c r="B24" t="s">
        <v>142</v>
      </c>
      <c r="C24" s="130">
        <f>月次データ!E3</f>
        <v>60</v>
      </c>
      <c r="D24" t="str">
        <f ca="1">_xlfn.FORMULATEXT(月次データ!E3)</f>
        <v>=HOUR(D3)*60 + MINUTE(D3)</v>
      </c>
      <c r="E24">
        <v>60</v>
      </c>
    </row>
    <row r="25" spans="1:5">
      <c r="A25" t="s">
        <v>157</v>
      </c>
      <c r="B25" t="s">
        <v>162</v>
      </c>
      <c r="C25" s="130">
        <f>月次データ!E4</f>
        <v>0</v>
      </c>
      <c r="D25" t="str">
        <f ca="1">_xlfn.FORMULATEXT(月次データ!E4)</f>
        <v>=DAY(D4)*1440+HOUR(D4)*60 + MINUTE(D4)</v>
      </c>
      <c r="E25">
        <v>0</v>
      </c>
    </row>
    <row r="26" spans="1:5">
      <c r="A26" t="s">
        <v>157</v>
      </c>
      <c r="B26" t="s">
        <v>163</v>
      </c>
      <c r="C26" s="130">
        <f>月次データ!E5</f>
        <v>0</v>
      </c>
      <c r="D26" t="str">
        <f ca="1">_xlfn.FORMULATEXT(月次データ!E5)</f>
        <v>=HOUR(D5)*60 + MINUTE(D5)</v>
      </c>
      <c r="E26">
        <v>0</v>
      </c>
    </row>
    <row r="27" spans="1:5">
      <c r="A27" t="s">
        <v>157</v>
      </c>
      <c r="B27" t="s">
        <v>164</v>
      </c>
      <c r="C27" s="130">
        <f>月次データ!E6</f>
        <v>0</v>
      </c>
      <c r="D27" t="str">
        <f ca="1">_xlfn.FORMULATEXT(月次データ!E6)</f>
        <v>=HOUR(D6)*60 + MINUTE(D6)</v>
      </c>
      <c r="E27">
        <v>0</v>
      </c>
    </row>
    <row r="28" spans="1:5">
      <c r="A28" t="s">
        <v>157</v>
      </c>
      <c r="B28" t="s">
        <v>165</v>
      </c>
      <c r="C28" s="130">
        <f>月次データ!E7</f>
        <v>0</v>
      </c>
      <c r="D28" t="str">
        <f ca="1">_xlfn.FORMULATEXT(月次データ!E7)</f>
        <v>=HOUR(D7)*60 + MINUTE(D7)</v>
      </c>
      <c r="E28">
        <v>0</v>
      </c>
    </row>
    <row r="29" spans="1:5">
      <c r="A29" t="s">
        <v>157</v>
      </c>
      <c r="B29" t="s">
        <v>166</v>
      </c>
      <c r="C29" s="61">
        <f>月次データ!D8</f>
        <v>4.1666666666666664E-2</v>
      </c>
      <c r="D29" t="str">
        <f ca="1">_xlfn.FORMULATEXT(月次データ!D8)</f>
        <v>=SUM(D3:D7)</v>
      </c>
      <c r="E29">
        <v>4.1666666666666664E-2</v>
      </c>
    </row>
    <row r="30" spans="1:5">
      <c r="A30" t="s">
        <v>157</v>
      </c>
      <c r="B30" t="s">
        <v>167</v>
      </c>
      <c r="C30" s="80">
        <f>月次データ!P12</f>
        <v>0</v>
      </c>
      <c r="D30" t="str">
        <f ca="1">_xlfn.FORMULATEXT(月次データ!P12)</f>
        <v>=IF(N(C12)&lt;&gt;0, C12 - TIME(7, 45, 0), C12)</v>
      </c>
      <c r="E30">
        <v>0</v>
      </c>
    </row>
    <row r="31" spans="1:5">
      <c r="A31" t="s">
        <v>157</v>
      </c>
      <c r="B31" t="s">
        <v>168</v>
      </c>
      <c r="C31" s="61">
        <f>月次データ!C43</f>
        <v>0</v>
      </c>
      <c r="D31" t="str">
        <f ca="1">_xlfn.FORMULATEXT(月次データ!C43)</f>
        <v>=SUM(C35:C42)</v>
      </c>
      <c r="E31">
        <v>0</v>
      </c>
    </row>
    <row r="32" spans="1:5">
      <c r="A32" t="s">
        <v>157</v>
      </c>
      <c r="B32" t="s">
        <v>169</v>
      </c>
      <c r="C32" s="61">
        <f>月次データ!E43</f>
        <v>0</v>
      </c>
      <c r="D32" t="str">
        <f ca="1">_xlfn.FORMULATEXT(月次データ!E43)</f>
        <v>=SUM(E12:E42)</v>
      </c>
      <c r="E32">
        <v>0</v>
      </c>
    </row>
    <row r="33" spans="1:5">
      <c r="A33" t="s">
        <v>157</v>
      </c>
      <c r="B33" t="s">
        <v>170</v>
      </c>
      <c r="C33" s="61">
        <f>月次データ!F43</f>
        <v>2.0833333333333332E-2</v>
      </c>
      <c r="D33" t="str">
        <f ca="1">_xlfn.FORMULATEXT(月次データ!F43)</f>
        <v>=SUM(F12:F42)</v>
      </c>
      <c r="E33">
        <v>2.0833333333333332E-2</v>
      </c>
    </row>
    <row r="34" spans="1:5">
      <c r="A34" t="s">
        <v>157</v>
      </c>
      <c r="B34" t="s">
        <v>171</v>
      </c>
      <c r="C34" s="61">
        <f>月次データ!G43</f>
        <v>0</v>
      </c>
      <c r="D34" t="str">
        <f ca="1">_xlfn.FORMULATEXT(月次データ!G43)</f>
        <v>=SUM(G12:G42)</v>
      </c>
      <c r="E34">
        <v>0</v>
      </c>
    </row>
    <row r="35" spans="1:5">
      <c r="A35" t="s">
        <v>157</v>
      </c>
      <c r="B35" t="s">
        <v>172</v>
      </c>
      <c r="C35" s="61">
        <f>月次データ!H43</f>
        <v>0</v>
      </c>
      <c r="D35" t="str">
        <f ca="1">_xlfn.FORMULATEXT(月次データ!H43)</f>
        <v>=SUM(H12:H42)</v>
      </c>
      <c r="E35">
        <v>0</v>
      </c>
    </row>
    <row r="36" spans="1:5">
      <c r="A36" t="s">
        <v>157</v>
      </c>
      <c r="B36" t="s">
        <v>173</v>
      </c>
      <c r="C36" s="61">
        <f>月次データ!I43</f>
        <v>0</v>
      </c>
      <c r="D36" t="str">
        <f ca="1">_xlfn.FORMULATEXT(月次データ!I43)</f>
        <v>=SUM(I12:I42)</v>
      </c>
      <c r="E36">
        <v>0</v>
      </c>
    </row>
    <row r="37" spans="1:5">
      <c r="A37" t="s">
        <v>157</v>
      </c>
      <c r="B37" t="s">
        <v>174</v>
      </c>
      <c r="C37" s="61">
        <f>月次データ!J43</f>
        <v>0</v>
      </c>
      <c r="D37" t="str">
        <f ca="1">_xlfn.FORMULATEXT(月次データ!J43)</f>
        <v>=SUM(J12:J42)</v>
      </c>
      <c r="E37">
        <v>0</v>
      </c>
    </row>
    <row r="38" spans="1:5">
      <c r="A38" t="s">
        <v>157</v>
      </c>
      <c r="B38" t="s">
        <v>175</v>
      </c>
      <c r="C38" s="61">
        <f>月次データ!K43</f>
        <v>0</v>
      </c>
      <c r="D38" t="str">
        <f ca="1">_xlfn.FORMULATEXT(月次データ!K43)</f>
        <v>=SUM(K12:K42)</v>
      </c>
      <c r="E38">
        <v>0</v>
      </c>
    </row>
    <row r="39" spans="1:5">
      <c r="A39" t="s">
        <v>157</v>
      </c>
      <c r="B39" t="s">
        <v>176</v>
      </c>
      <c r="C39" s="61">
        <f>月次データ!L43</f>
        <v>0</v>
      </c>
      <c r="D39" t="str">
        <f ca="1">_xlfn.FORMULATEXT(月次データ!L43)</f>
        <v>=SUM(L12:L42)</v>
      </c>
      <c r="E39">
        <v>0</v>
      </c>
    </row>
    <row r="40" spans="1:5">
      <c r="A40" t="s">
        <v>157</v>
      </c>
      <c r="B40" t="s">
        <v>177</v>
      </c>
      <c r="C40" s="61">
        <f>月次データ!M43</f>
        <v>2.0833333333333332E-2</v>
      </c>
      <c r="D40" t="str">
        <f ca="1">_xlfn.FORMULATEXT(月次データ!M43)</f>
        <v>=SUM(M12:M42)</v>
      </c>
      <c r="E40">
        <v>2.0833333333333332E-2</v>
      </c>
    </row>
    <row r="41" spans="1:5">
      <c r="A41" t="s">
        <v>157</v>
      </c>
      <c r="B41" t="s">
        <v>178</v>
      </c>
      <c r="C41" s="61">
        <f>月次データ!N43</f>
        <v>0</v>
      </c>
      <c r="D41" t="str">
        <f ca="1">_xlfn.FORMULATEXT(月次データ!N43)</f>
        <v>=SUM(N12:N42)</v>
      </c>
      <c r="E41">
        <v>0</v>
      </c>
    </row>
    <row r="42" spans="1:5">
      <c r="A42" t="s">
        <v>157</v>
      </c>
      <c r="B42" t="s">
        <v>179</v>
      </c>
      <c r="C42" s="61">
        <f>月次データ!P43</f>
        <v>0</v>
      </c>
      <c r="D42" t="str">
        <f ca="1">_xlfn.FORMULATEXT(月次データ!P43)</f>
        <v>=SUM(P12:P42)</v>
      </c>
      <c r="E42">
        <v>0</v>
      </c>
    </row>
    <row r="43" spans="1:5">
      <c r="A43" t="s">
        <v>157</v>
      </c>
      <c r="B43" t="s">
        <v>180</v>
      </c>
      <c r="C43" s="61">
        <f>月次データ!Q43</f>
        <v>4.1666666666666664E-2</v>
      </c>
      <c r="D43" t="str">
        <f ca="1">_xlfn.FORMULATEXT(月次データ!Q43)</f>
        <v>=SUM(E43:N43)</v>
      </c>
      <c r="E43">
        <v>4.1666666666666664E-2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E4E-0349-4329-896D-A671997AD100}">
  <sheetPr codeName="Sheet12"/>
  <dimension ref="A1:E17"/>
  <sheetViews>
    <sheetView workbookViewId="0">
      <selection activeCell="E15" sqref="E15"/>
    </sheetView>
  </sheetViews>
  <sheetFormatPr defaultRowHeight="18.75"/>
  <cols>
    <col min="1" max="1" width="4.375" bestFit="1" customWidth="1"/>
    <col min="2" max="2" width="32.375" bestFit="1" customWidth="1"/>
    <col min="3" max="3" width="12.875" bestFit="1" customWidth="1"/>
    <col min="4" max="4" width="5.5" bestFit="1" customWidth="1"/>
    <col min="5" max="5" width="77.75" bestFit="1" customWidth="1"/>
  </cols>
  <sheetData>
    <row r="1" spans="1:5" s="113" customFormat="1" ht="18">
      <c r="A1" s="113" t="s">
        <v>98</v>
      </c>
      <c r="B1" s="113" t="s">
        <v>99</v>
      </c>
      <c r="C1" s="113" t="s">
        <v>100</v>
      </c>
      <c r="D1" s="113" t="s">
        <v>101</v>
      </c>
      <c r="E1" s="113" t="s">
        <v>102</v>
      </c>
    </row>
    <row r="2" spans="1:5">
      <c r="A2">
        <v>1</v>
      </c>
      <c r="B2" t="s">
        <v>103</v>
      </c>
      <c r="C2" t="s">
        <v>104</v>
      </c>
      <c r="D2">
        <v>1731</v>
      </c>
      <c r="E2" t="s">
        <v>105</v>
      </c>
    </row>
    <row r="3" spans="1:5">
      <c r="A3">
        <v>2</v>
      </c>
      <c r="B3" t="s">
        <v>106</v>
      </c>
      <c r="C3" t="s">
        <v>107</v>
      </c>
      <c r="D3">
        <v>360</v>
      </c>
      <c r="E3" t="s">
        <v>108</v>
      </c>
    </row>
    <row r="4" spans="1:5">
      <c r="A4">
        <v>3</v>
      </c>
      <c r="B4" t="s">
        <v>109</v>
      </c>
      <c r="C4" t="s">
        <v>107</v>
      </c>
      <c r="D4">
        <v>45</v>
      </c>
      <c r="E4" t="s">
        <v>110</v>
      </c>
    </row>
    <row r="5" spans="1:5">
      <c r="A5">
        <v>4</v>
      </c>
      <c r="B5" t="s">
        <v>118</v>
      </c>
      <c r="C5" t="s">
        <v>107</v>
      </c>
      <c r="D5">
        <v>39</v>
      </c>
      <c r="E5" t="s">
        <v>119</v>
      </c>
    </row>
    <row r="6" spans="1:5">
      <c r="A6">
        <v>5</v>
      </c>
      <c r="B6" t="s">
        <v>116</v>
      </c>
      <c r="C6" t="s">
        <v>107</v>
      </c>
      <c r="D6">
        <v>38</v>
      </c>
      <c r="E6" t="s">
        <v>117</v>
      </c>
    </row>
    <row r="7" spans="1:5">
      <c r="A7">
        <v>6</v>
      </c>
      <c r="B7" t="s">
        <v>111</v>
      </c>
      <c r="C7" t="s">
        <v>112</v>
      </c>
      <c r="D7">
        <v>34</v>
      </c>
      <c r="E7" t="s">
        <v>113</v>
      </c>
    </row>
    <row r="8" spans="1:5">
      <c r="A8">
        <v>7</v>
      </c>
      <c r="B8" t="s">
        <v>114</v>
      </c>
      <c r="C8" t="s">
        <v>107</v>
      </c>
      <c r="D8">
        <v>33</v>
      </c>
      <c r="E8" t="s">
        <v>115</v>
      </c>
    </row>
    <row r="9" spans="1:5">
      <c r="A9">
        <v>8</v>
      </c>
      <c r="B9">
        <v>0</v>
      </c>
      <c r="C9" t="s">
        <v>123</v>
      </c>
      <c r="D9">
        <v>21</v>
      </c>
      <c r="E9" t="s">
        <v>124</v>
      </c>
    </row>
    <row r="10" spans="1:5">
      <c r="A10">
        <v>9</v>
      </c>
      <c r="B10" t="s">
        <v>120</v>
      </c>
      <c r="C10" t="s">
        <v>121</v>
      </c>
      <c r="D10">
        <v>16</v>
      </c>
      <c r="E10" t="s">
        <v>122</v>
      </c>
    </row>
    <row r="11" spans="1:5">
      <c r="A11">
        <v>10</v>
      </c>
      <c r="B11">
        <v>0</v>
      </c>
      <c r="C11" t="s">
        <v>123</v>
      </c>
      <c r="D11">
        <v>12</v>
      </c>
      <c r="E11" t="s">
        <v>125</v>
      </c>
    </row>
    <row r="12" spans="1:5">
      <c r="A12">
        <v>11</v>
      </c>
      <c r="B12" t="s">
        <v>126</v>
      </c>
      <c r="C12" t="s">
        <v>112</v>
      </c>
      <c r="D12">
        <v>4</v>
      </c>
      <c r="E12" t="s">
        <v>191</v>
      </c>
    </row>
    <row r="13" spans="1:5">
      <c r="A13">
        <v>12</v>
      </c>
      <c r="B13" t="s">
        <v>127</v>
      </c>
      <c r="C13" t="s">
        <v>123</v>
      </c>
      <c r="D13">
        <v>2</v>
      </c>
      <c r="E13" t="s">
        <v>128</v>
      </c>
    </row>
    <row r="14" spans="1:5">
      <c r="A14">
        <v>13</v>
      </c>
      <c r="B14" t="s">
        <v>129</v>
      </c>
      <c r="C14" t="s">
        <v>112</v>
      </c>
      <c r="D14">
        <v>2</v>
      </c>
      <c r="E14" t="s">
        <v>130</v>
      </c>
    </row>
    <row r="15" spans="1:5">
      <c r="A15">
        <v>14</v>
      </c>
      <c r="B15" t="s">
        <v>185</v>
      </c>
      <c r="C15" t="s">
        <v>112</v>
      </c>
      <c r="D15">
        <v>2</v>
      </c>
      <c r="E15" t="s">
        <v>186</v>
      </c>
    </row>
    <row r="16" spans="1:5">
      <c r="A16">
        <v>15</v>
      </c>
      <c r="B16" t="s">
        <v>133</v>
      </c>
      <c r="C16" t="s">
        <v>112</v>
      </c>
      <c r="D16">
        <v>1</v>
      </c>
      <c r="E16" t="s">
        <v>134</v>
      </c>
    </row>
    <row r="17" spans="1:5">
      <c r="A17">
        <v>16</v>
      </c>
      <c r="B17" t="s">
        <v>131</v>
      </c>
      <c r="C17" t="s">
        <v>112</v>
      </c>
      <c r="D17">
        <v>1</v>
      </c>
      <c r="E17" t="s">
        <v>132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8612-3F0E-4590-8B75-DAB8EA1F5664}">
  <sheetPr codeName="Sheet13"/>
  <dimension ref="A1:E17"/>
  <sheetViews>
    <sheetView tabSelected="1" workbookViewId="0">
      <selection activeCell="E14" sqref="E14"/>
    </sheetView>
  </sheetViews>
  <sheetFormatPr defaultRowHeight="18.75"/>
  <cols>
    <col min="1" max="1" width="4.375" bestFit="1" customWidth="1"/>
    <col min="2" max="2" width="32.375" bestFit="1" customWidth="1"/>
    <col min="3" max="3" width="12.875" bestFit="1" customWidth="1"/>
    <col min="4" max="4" width="5.5" bestFit="1" customWidth="1"/>
    <col min="5" max="5" width="119.25" bestFit="1" customWidth="1"/>
  </cols>
  <sheetData>
    <row r="1" spans="1:5" s="113" customFormat="1" ht="18">
      <c r="A1" s="113" t="s">
        <v>98</v>
      </c>
      <c r="B1" s="113" t="s">
        <v>99</v>
      </c>
      <c r="C1" s="113" t="s">
        <v>100</v>
      </c>
      <c r="D1" s="113" t="s">
        <v>101</v>
      </c>
      <c r="E1" s="113" t="s">
        <v>192</v>
      </c>
    </row>
    <row r="2" spans="1:5">
      <c r="A2">
        <v>1</v>
      </c>
      <c r="B2" t="s">
        <v>103</v>
      </c>
      <c r="C2" t="s">
        <v>104</v>
      </c>
      <c r="D2">
        <v>1816</v>
      </c>
      <c r="E2" t="s">
        <v>199</v>
      </c>
    </row>
    <row r="3" spans="1:5">
      <c r="A3">
        <v>2</v>
      </c>
      <c r="B3" t="s">
        <v>106</v>
      </c>
      <c r="C3" t="s">
        <v>107</v>
      </c>
      <c r="D3">
        <v>360</v>
      </c>
      <c r="E3" t="s">
        <v>193</v>
      </c>
    </row>
    <row r="4" spans="1:5">
      <c r="A4">
        <v>3</v>
      </c>
      <c r="B4" t="s">
        <v>109</v>
      </c>
      <c r="C4" t="s">
        <v>107</v>
      </c>
      <c r="D4">
        <v>45</v>
      </c>
      <c r="E4" t="s">
        <v>194</v>
      </c>
    </row>
    <row r="5" spans="1:5">
      <c r="A5">
        <v>4</v>
      </c>
      <c r="B5" t="s">
        <v>118</v>
      </c>
      <c r="C5" t="s">
        <v>107</v>
      </c>
      <c r="D5">
        <v>39</v>
      </c>
      <c r="E5" t="s">
        <v>195</v>
      </c>
    </row>
    <row r="6" spans="1:5">
      <c r="A6">
        <v>5</v>
      </c>
      <c r="B6" t="s">
        <v>116</v>
      </c>
      <c r="C6" t="s">
        <v>107</v>
      </c>
      <c r="D6">
        <v>38</v>
      </c>
      <c r="E6" t="s">
        <v>187</v>
      </c>
    </row>
    <row r="7" spans="1:5">
      <c r="A7">
        <v>6</v>
      </c>
      <c r="B7" t="s">
        <v>111</v>
      </c>
      <c r="C7" t="s">
        <v>112</v>
      </c>
      <c r="D7">
        <v>34</v>
      </c>
      <c r="E7" t="s">
        <v>188</v>
      </c>
    </row>
    <row r="8" spans="1:5">
      <c r="A8">
        <v>7</v>
      </c>
      <c r="B8" t="s">
        <v>114</v>
      </c>
      <c r="C8" t="s">
        <v>107</v>
      </c>
      <c r="D8">
        <v>33</v>
      </c>
      <c r="E8" t="s">
        <v>189</v>
      </c>
    </row>
    <row r="9" spans="1:5">
      <c r="A9">
        <v>8</v>
      </c>
      <c r="B9">
        <v>0</v>
      </c>
      <c r="C9" t="s">
        <v>123</v>
      </c>
      <c r="D9">
        <v>21</v>
      </c>
      <c r="E9" t="s">
        <v>196</v>
      </c>
    </row>
    <row r="10" spans="1:5">
      <c r="A10">
        <v>9</v>
      </c>
      <c r="B10" t="s">
        <v>120</v>
      </c>
      <c r="C10" t="s">
        <v>121</v>
      </c>
      <c r="D10">
        <v>16</v>
      </c>
      <c r="E10" t="s">
        <v>197</v>
      </c>
    </row>
    <row r="11" spans="1:5">
      <c r="A11">
        <v>10</v>
      </c>
      <c r="B11">
        <v>0</v>
      </c>
      <c r="C11" t="s">
        <v>123</v>
      </c>
      <c r="D11">
        <v>12</v>
      </c>
      <c r="E11" t="s">
        <v>190</v>
      </c>
    </row>
    <row r="12" spans="1:5">
      <c r="A12">
        <v>11</v>
      </c>
      <c r="B12" t="s">
        <v>126</v>
      </c>
      <c r="C12" t="s">
        <v>112</v>
      </c>
      <c r="D12">
        <v>4</v>
      </c>
      <c r="E12" t="s">
        <v>184</v>
      </c>
    </row>
    <row r="13" spans="1:5">
      <c r="A13">
        <v>12</v>
      </c>
      <c r="B13" t="s">
        <v>127</v>
      </c>
      <c r="C13" t="s">
        <v>123</v>
      </c>
      <c r="D13">
        <v>2</v>
      </c>
      <c r="E13" t="s">
        <v>198</v>
      </c>
    </row>
    <row r="14" spans="1:5">
      <c r="A14">
        <v>13</v>
      </c>
      <c r="B14" t="s">
        <v>129</v>
      </c>
      <c r="C14" t="s">
        <v>112</v>
      </c>
      <c r="D14">
        <v>2</v>
      </c>
      <c r="E14" t="s">
        <v>130</v>
      </c>
    </row>
    <row r="15" spans="1:5">
      <c r="A15">
        <v>14</v>
      </c>
      <c r="B15" t="s">
        <v>185</v>
      </c>
      <c r="C15" t="s">
        <v>112</v>
      </c>
      <c r="D15">
        <v>2</v>
      </c>
      <c r="E15" t="s">
        <v>186</v>
      </c>
    </row>
    <row r="16" spans="1:5">
      <c r="A16">
        <v>15</v>
      </c>
      <c r="B16" t="s">
        <v>133</v>
      </c>
      <c r="C16" t="s">
        <v>112</v>
      </c>
      <c r="D16">
        <v>1</v>
      </c>
      <c r="E16" t="s">
        <v>134</v>
      </c>
    </row>
    <row r="17" spans="1:5">
      <c r="A17">
        <v>16</v>
      </c>
      <c r="B17" t="s">
        <v>131</v>
      </c>
      <c r="C17" t="s">
        <v>112</v>
      </c>
      <c r="D17">
        <v>1</v>
      </c>
      <c r="E17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数式一覧</vt:lpstr>
      <vt:lpstr>FormatInventory</vt:lpstr>
      <vt:lpstr>表示形式一覧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2025-10-06T13:20:05Z</dcterms:modified>
</cp:coreProperties>
</file>