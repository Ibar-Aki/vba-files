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完全版\"/>
    </mc:Choice>
  </mc:AlternateContent>
  <xr:revisionPtr revIDLastSave="0" documentId="13_ncr:1_{B2BEFC3A-0106-484F-B75F-A1C24F8F4A74}" xr6:coauthVersionLast="47" xr6:coauthVersionMax="47" xr10:uidLastSave="{00000000-0000-0000-0000-000000000000}"/>
  <bookViews>
    <workbookView xWindow="38280" yWindow="-120" windowWidth="29040" windowHeight="15720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C3" i="1"/>
  <c r="D3" i="5"/>
  <c r="N43" i="4"/>
  <c r="M43" i="4"/>
  <c r="L43" i="4"/>
  <c r="K43" i="4"/>
  <c r="J43" i="4"/>
  <c r="I43" i="4"/>
  <c r="H43" i="4"/>
  <c r="G43" i="4"/>
  <c r="F43" i="4"/>
  <c r="E43" i="4"/>
  <c r="C43" i="4"/>
  <c r="Q43" i="4" l="1"/>
  <c r="P12" i="4"/>
  <c r="P43" i="4" s="1"/>
  <c r="E5" i="4"/>
  <c r="E6" i="4"/>
  <c r="E7" i="4"/>
  <c r="E11" i="5"/>
  <c r="E9" i="5"/>
  <c r="E23" i="5"/>
  <c r="E12" i="5"/>
  <c r="E13" i="5"/>
  <c r="E14" i="5"/>
  <c r="E15" i="5"/>
  <c r="E16" i="5"/>
  <c r="E17" i="5"/>
  <c r="E8" i="5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<sst xmlns="http://schemas.openxmlformats.org/spreadsheetml/2006/main" count="146" uniqueCount="98">
  <si>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</si>
  <si>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</si>
  <si>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</si>
  <si>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</si>
  <si>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</si>
  <si>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</si>
  <si>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</si>
  <si>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</si>
  <si>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</si>
  <si>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</si>
  <si>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</si>
  <si>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</si>
  <si>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</si>
  <si>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</si>
  <si>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</si>
  <si>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</si>
  <si>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</si>
  <si>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</si>
  <si>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</si>
  <si>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</si>
  <si>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</si>
  <si>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</si>
  <si>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</si>
  <si>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</si>
  <si>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</si>
  <si>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</si>
  <si>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</si>
  <si>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</si>
  <si>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</si>
  <si>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</si>
  <si>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</si>
  <si>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</si>
  <si>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</si>
  <si>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</si>
  <si>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</si>
  <si>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</si>
  <si>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</si>
  <si>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</si>
  <si>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</si>
  <si>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</si>
  <si>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</si>
  <si>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</si>
  <si>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</si>
  <si>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</si>
  <si>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</si>
  <si>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</si>
  <si>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</si>
  <si>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</si>
  <si>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</si>
  <si>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</si>
  <si>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</si>
  <si>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</si>
  <si>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</si>
  <si>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</si>
  <si>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</si>
  <si>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</si>
  <si>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</si>
  <si>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</si>
  <si>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</si>
  <si>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</si>
  <si>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</si>
  <si>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</si>
  <si>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</si>
  <si>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</si>
  <si>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</si>
  <si>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</si>
  <si>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</si>
  <si>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</si>
  <si>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</si>
  <si>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</si>
  <si>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</si>
  <si>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</si>
  <si>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</si>
  <si>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</si>
  <si>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</si>
  <si>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</si>
  <si>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</si>
  <si>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</si>
  <si>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</si>
  <si>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</si>
  <si>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</si>
  <si>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</si>
  <si>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</si>
  <si>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</si>
  <si>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</si>
  <si>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</si>
  <si>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</si>
  <si>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</si>
  <si>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</si>
  <si>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</si>
  <si>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</si>
  <si>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</si>
  <si>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</si>
  <si>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</si>
  <si>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</si>
  <si>
    <t>0900-0930</t>
  </si>
  <si>
    <t>tesy</t>
  </si>
  <si>
    <t>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</si>
</sst>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m/dd\(aaa\)"/>
    <numFmt numFmtId="188" formatCode="0_);[Red]\(0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left" vertical="top" wrapText="1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3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182" fontId="0" fillId="0" borderId="14" xfId="0" applyNumberFormat="1" applyFill="1" applyBorder="1" applyProtection="1">
      <alignment vertical="center"/>
      <protection locked="0"/>
    </xf>
    <xf numFmtId="182" fontId="0" fillId="0" borderId="28" xfId="0" applyNumberFormat="1" applyFill="1" applyBorder="1" applyAlignment="1" applyProtection="1">
      <alignment horizontal="center" vertical="center"/>
      <protection locked="0"/>
    </xf>
    <xf numFmtId="182" fontId="0" fillId="0" borderId="19" xfId="0" applyNumberFormat="1" applyFill="1" applyBorder="1" applyProtection="1">
      <alignment vertical="center"/>
      <protection locked="0"/>
    </xf>
    <xf numFmtId="182" fontId="0" fillId="0" borderId="8" xfId="0" applyNumberFormat="1" applyFill="1" applyBorder="1" applyProtection="1">
      <alignment vertical="center"/>
      <protection locked="0"/>
    </xf>
    <xf numFmtId="182" fontId="0" fillId="0" borderId="16" xfId="0" applyNumberFormat="1" applyFill="1" applyBorder="1" applyProtection="1">
      <alignment vertical="center"/>
      <protection locked="0"/>
    </xf>
    <xf numFmtId="182" fontId="0" fillId="0" borderId="29" xfId="0" applyNumberFormat="1" applyFill="1" applyBorder="1" applyAlignment="1" applyProtection="1">
      <alignment horizontal="center" vertical="center"/>
      <protection locked="0"/>
    </xf>
    <xf numFmtId="182" fontId="0" fillId="0" borderId="9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Protection="1">
      <alignment vertical="center"/>
      <protection locked="0"/>
    </xf>
    <xf numFmtId="181" fontId="0" fillId="0" borderId="1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Alignment="1" applyProtection="1">
      <alignment vertical="center" wrapText="1"/>
      <protection locked="0"/>
    </xf>
    <xf numFmtId="182" fontId="0" fillId="0" borderId="0" xfId="0" applyNumberFormat="1" applyFill="1" applyProtection="1">
      <alignment vertical="center"/>
      <protection locked="0"/>
    </xf>
    <xf numFmtId="182" fontId="0" fillId="0" borderId="27" xfId="0" applyNumberFormat="1" applyFill="1" applyBorder="1" applyAlignment="1" applyProtection="1">
      <alignment horizontal="center" vertical="center"/>
      <protection locked="0"/>
    </xf>
    <xf numFmtId="182" fontId="0" fillId="0" borderId="20" xfId="0" applyNumberFormat="1" applyFill="1" applyBorder="1" applyProtection="1">
      <alignment vertical="center"/>
      <protection locked="0"/>
    </xf>
    <xf numFmtId="182" fontId="0" fillId="0" borderId="17" xfId="0" applyNumberFormat="1" applyFill="1" applyBorder="1" applyProtection="1">
      <alignment vertical="center"/>
      <protection locked="0"/>
    </xf>
    <xf numFmtId="182" fontId="0" fillId="0" borderId="5" xfId="0" applyNumberFormat="1" applyFill="1" applyBorder="1" applyProtection="1">
      <alignment vertical="center"/>
      <protection locked="0"/>
    </xf>
    <xf numFmtId="184" fontId="0" fillId="0" borderId="13" xfId="0" applyNumberFormat="1" applyFill="1" applyBorder="1" applyProtection="1">
      <alignment vertical="center"/>
      <protection locked="0"/>
    </xf>
    <xf numFmtId="184" fontId="0" fillId="0" borderId="15" xfId="0" applyNumberFormat="1" applyFill="1" applyBorder="1" applyProtection="1">
      <alignment vertical="center"/>
      <protection locked="0"/>
    </xf>
    <xf numFmtId="184" fontId="0" fillId="0" borderId="4" xfId="0" applyNumberFormat="1" applyFill="1" applyBorder="1" applyProtection="1">
      <alignment vertical="center"/>
      <protection locked="0"/>
    </xf>
    <xf numFmtId="188" fontId="3" fillId="0" borderId="5" xfId="0" applyNumberFormat="1" applyFont="1" applyBorder="1" applyProtection="1">
      <alignment vertical="center"/>
      <protection locked="0"/>
    </xf>
    <xf numFmtId="188" fontId="0" fillId="0" borderId="15" xfId="0" applyNumberFormat="1" applyFill="1" applyBorder="1" applyProtection="1">
      <alignment vertical="center"/>
      <protection locked="0"/>
    </xf>
    <xf numFmtId="184" fontId="3" fillId="0" borderId="5" xfId="0" applyNumberFormat="1" applyFont="1" applyBorder="1" applyProtection="1">
      <alignment vertical="center"/>
      <protection locked="0"/>
    </xf>
    <xf numFmtId="184" fontId="0" fillId="2" borderId="3" xfId="0" applyNumberFormat="1" applyFill="1" applyBorder="1">
      <alignment vertical="center"/>
    </xf>
  </cellXfs>
  <cellStyles count="1">
    <cellStyle name="標準" xfId="0" builtinId="0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tabSelected="1" zoomScale="145" zoomScaleNormal="145" workbookViewId="0">
      <selection sqref="A1:XFD1048576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91" t="s">
        <v>1</v>
      </c>
      <c r="C2" s="91"/>
      <c r="D2" s="91"/>
      <c r="E2" s="91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 t="s">
        <v>95</v>
      </c>
      <c r="D8" s="11" t="s">
        <v>96</v>
      </c>
      <c r="E8" s="11" t="s">
        <v>97</v>
      </c>
      <c r="F8" s="63" t="s">
        <v>79</v>
      </c>
      <c r="G8" s="19"/>
      <c r="H8" s="63" t="s">
        <v>43</v>
      </c>
      <c r="I8" s="19"/>
    </row>
    <row r="9" spans="1:9">
      <c r="A9" s="10">
        <v>2</v>
      </c>
      <c r="B9" s="10"/>
      <c r="C9" s="10"/>
      <c r="D9" s="11"/>
      <c r="E9" s="11"/>
      <c r="F9" s="54"/>
      <c r="G9" s="19"/>
      <c r="H9" s="54"/>
      <c r="I9" s="19"/>
    </row>
    <row r="10" spans="1:9">
      <c r="A10" s="10">
        <v>3</v>
      </c>
      <c r="B10" s="10"/>
      <c r="C10" s="10"/>
      <c r="D10" s="11"/>
      <c r="E10" s="11"/>
      <c r="F10" s="54"/>
      <c r="G10" s="19"/>
      <c r="H10" s="54"/>
      <c r="I10" s="19"/>
    </row>
    <row r="11" spans="1:9">
      <c r="A11" s="10">
        <v>4</v>
      </c>
      <c r="B11" s="10"/>
      <c r="C11" s="10"/>
      <c r="D11" s="11"/>
      <c r="E11" s="11"/>
      <c r="F11" s="54"/>
      <c r="G11" s="19"/>
      <c r="H11" s="54"/>
      <c r="I11" s="19"/>
    </row>
    <row r="12" spans="1:9">
      <c r="A12" s="10">
        <v>5</v>
      </c>
      <c r="B12" s="10"/>
      <c r="C12" s="10"/>
      <c r="D12" s="11"/>
      <c r="E12" s="11"/>
      <c r="F12" s="54"/>
      <c r="G12" s="19"/>
      <c r="H12" s="54"/>
      <c r="I12" s="19"/>
    </row>
    <row r="13" spans="1:9">
      <c r="A13" s="10">
        <v>6</v>
      </c>
      <c r="B13" s="10"/>
      <c r="C13" s="10"/>
      <c r="D13" s="11"/>
      <c r="E13" s="22"/>
      <c r="F13" s="54"/>
      <c r="G13" s="19"/>
      <c r="H13" s="54"/>
      <c r="I13" s="19"/>
    </row>
    <row r="14" spans="1:9">
      <c r="A14" s="10">
        <v>7</v>
      </c>
      <c r="B14" s="10"/>
      <c r="C14" s="10"/>
      <c r="D14" s="11"/>
      <c r="E14" s="22"/>
      <c r="F14" s="54"/>
      <c r="G14" s="19"/>
      <c r="H14" s="54"/>
      <c r="I14" s="19"/>
    </row>
    <row r="15" spans="1:9">
      <c r="A15" s="10">
        <v>8</v>
      </c>
      <c r="B15" s="10"/>
      <c r="C15" s="10"/>
      <c r="D15" s="11"/>
      <c r="E15" s="22"/>
      <c r="F15" s="54"/>
      <c r="G15" s="19"/>
      <c r="H15" s="54"/>
      <c r="I15" s="19"/>
    </row>
    <row r="16" spans="1:9">
      <c r="A16" s="10">
        <v>9</v>
      </c>
      <c r="B16" s="10"/>
      <c r="C16" s="10"/>
      <c r="D16" s="10"/>
      <c r="E16" s="22"/>
      <c r="F16" s="54"/>
      <c r="G16" s="19"/>
      <c r="H16" s="54"/>
      <c r="I16" s="19"/>
    </row>
    <row r="17" spans="1:9">
      <c r="A17" s="10">
        <v>10</v>
      </c>
      <c r="B17" s="10"/>
      <c r="C17" s="10"/>
      <c r="D17" s="10"/>
      <c r="E17" s="22"/>
      <c r="F17" s="54"/>
      <c r="G17" s="19"/>
      <c r="H17" s="54"/>
      <c r="I17" s="19"/>
    </row>
    <row r="18" spans="1:9">
      <c r="A18" s="10">
        <v>11</v>
      </c>
      <c r="B18" s="10"/>
      <c r="C18" s="10"/>
      <c r="D18" s="10"/>
      <c r="E18" s="22"/>
      <c r="F18" s="54"/>
      <c r="G18" s="19"/>
      <c r="H18" s="54"/>
      <c r="I18" s="19"/>
    </row>
    <row r="19" spans="1:9">
      <c r="A19" s="10">
        <v>12</v>
      </c>
      <c r="B19" s="10"/>
      <c r="C19" s="10"/>
      <c r="D19" s="10"/>
      <c r="E19" s="22"/>
      <c r="F19" s="54"/>
      <c r="G19" s="19"/>
      <c r="H19" s="54"/>
      <c r="I19" s="19"/>
    </row>
    <row r="20" spans="1:9">
      <c r="A20" s="10">
        <v>13</v>
      </c>
      <c r="B20" s="10"/>
      <c r="C20" s="10"/>
      <c r="D20" s="10"/>
      <c r="E20" s="22"/>
      <c r="F20" s="54"/>
      <c r="G20" s="19"/>
      <c r="H20" s="54"/>
      <c r="I20" s="19"/>
    </row>
    <row r="21" spans="1:9">
      <c r="A21" s="10">
        <v>14</v>
      </c>
      <c r="B21" s="10"/>
      <c r="C21" s="10"/>
      <c r="D21" s="10"/>
      <c r="E21" s="22"/>
      <c r="F21" s="54"/>
      <c r="G21" s="19"/>
      <c r="H21" s="54"/>
      <c r="I21" s="19"/>
    </row>
    <row r="22" spans="1:9">
      <c r="A22" s="10">
        <v>15</v>
      </c>
      <c r="B22" s="10"/>
      <c r="C22" s="10"/>
      <c r="D22" s="10"/>
      <c r="E22" s="22"/>
      <c r="F22" s="54"/>
      <c r="G22" s="19"/>
      <c r="H22" s="54"/>
      <c r="I22" s="19"/>
    </row>
    <row r="25" spans="1:9">
      <c r="F25" s="12"/>
      <c r="G25" s="12"/>
    </row>
  </sheetData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M52"/>
  <sheetViews>
    <sheetView showGridLines="0" zoomScale="130" zoomScaleNormal="130" workbookViewId="0">
      <selection activeCell="I8" sqref="I8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9.875" bestFit="1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13" s="45" customFormat="1" ht="25.5">
      <c r="A1" s="45" t="s">
        <v>59</v>
      </c>
      <c r="I1" s="92"/>
    </row>
    <row r="2" spans="1:13" ht="18" customHeight="1" thickBot="1">
      <c r="I2" s="92"/>
    </row>
    <row r="3" spans="1:13">
      <c r="C3" s="7" t="s">
        <v>34</v>
      </c>
      <c r="D3" s="123">
        <f ca="1">IF($D$4&lt;&gt;"",$D$4,WORKDAY(TODAY(),-1))</f>
        <v>45902</v>
      </c>
      <c r="E3" s="2" t="str">
        <f ca="1">TEXT(D3,"aaaa")</f>
        <v>火曜日</v>
      </c>
    </row>
    <row r="4" spans="1:13" ht="19.5" thickBot="1">
      <c r="C4" s="5" t="s">
        <v>0</v>
      </c>
      <c r="D4" s="122"/>
      <c r="E4" s="6" t="s">
        <v>38</v>
      </c>
      <c r="H4" s="16"/>
      <c r="I4" s="16"/>
    </row>
    <row r="5" spans="1:13">
      <c r="C5" s="6"/>
      <c r="D5" s="21"/>
      <c r="H5" s="16"/>
      <c r="I5" s="16"/>
    </row>
    <row r="6" spans="1:13" ht="19.5" thickBot="1">
      <c r="B6" s="44" t="s">
        <v>33</v>
      </c>
      <c r="E6" s="2"/>
      <c r="F6" s="2" t="s">
        <v>67</v>
      </c>
    </row>
    <row r="7" spans="1:13">
      <c r="B7" s="41" t="s">
        <v>26</v>
      </c>
      <c r="C7" s="52" t="s">
        <v>24</v>
      </c>
      <c r="D7" s="52" t="s">
        <v>87</v>
      </c>
      <c r="E7" s="26" t="s">
        <v>36</v>
      </c>
      <c r="F7" s="70" t="s">
        <v>37</v>
      </c>
      <c r="G7" s="32" t="s">
        <v>32</v>
      </c>
      <c r="H7" s="33" t="s">
        <v>88</v>
      </c>
    </row>
    <row r="8" spans="1:13">
      <c r="B8" s="42">
        <v>1</v>
      </c>
      <c r="C8" s="10" t="s">
        <v>23</v>
      </c>
      <c r="D8" s="10" t="s">
        <v>42</v>
      </c>
      <c r="E8" s="73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1"/>
      <c r="G8" s="10"/>
      <c r="H8" s="34"/>
    </row>
    <row r="9" spans="1:13">
      <c r="B9" s="42">
        <v>2</v>
      </c>
      <c r="C9" s="10" t="s">
        <v>23</v>
      </c>
      <c r="D9" s="10" t="s">
        <v>44</v>
      </c>
      <c r="E9" s="73">
        <f>IF(OR(C9="", D9=""), 0, IF(F9&lt;&gt;"",TIME(INT(F9/100),MOD(F9,100),0),SUMPRODUCT((データ取得!$F$8:$F$22=C9)*(データ取得!$H$8:$H$22=D9),TIME(INT(データ取得!$E$8:$E$22/100),MOD(データ取得!$E$8:$E$22,100),0))))</f>
        <v>2.0833333333333332E-2</v>
      </c>
      <c r="F9" s="71"/>
      <c r="G9" s="10"/>
      <c r="H9" s="34"/>
    </row>
    <row r="10" spans="1:13" ht="19.5" thickBot="1">
      <c r="B10" s="42">
        <v>3</v>
      </c>
      <c r="C10" s="10" t="s">
        <v>23</v>
      </c>
      <c r="D10" s="10" t="s">
        <v>49</v>
      </c>
      <c r="E10" s="73">
        <f>IF(OR(C10="", D10=""), 0, IF(F10&lt;&gt;"",TIME(INT(F10/100),MOD(F10,100),0),SUMPRODUCT((データ取得!$F$8:$F$22=C10)*(データ取得!$H$8:$H$22=D10),TIME(INT(データ取得!$E$8:$E$22/100),MOD(データ取得!$E$8:$E$22,100),0))))</f>
        <v>2.0833333333333332E-2</v>
      </c>
      <c r="F10" s="71">
        <v>30</v>
      </c>
      <c r="G10" s="10"/>
      <c r="H10" s="34"/>
      <c r="L10" s="120">
        <v>45860</v>
      </c>
      <c r="M10" s="121">
        <v>45860</v>
      </c>
    </row>
    <row r="11" spans="1:13">
      <c r="B11" s="42">
        <v>4</v>
      </c>
      <c r="C11" s="10" t="s">
        <v>35</v>
      </c>
      <c r="D11" s="10" t="s">
        <v>50</v>
      </c>
      <c r="E11" s="7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1"/>
      <c r="G11" s="10"/>
      <c r="H11" s="34"/>
    </row>
    <row r="12" spans="1:13">
      <c r="B12" s="42">
        <v>5</v>
      </c>
      <c r="C12" s="10" t="s">
        <v>35</v>
      </c>
      <c r="D12" s="10" t="s">
        <v>52</v>
      </c>
      <c r="E12" s="7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71"/>
      <c r="G12" s="10"/>
      <c r="H12" s="34"/>
    </row>
    <row r="13" spans="1:13">
      <c r="B13" s="42">
        <v>6</v>
      </c>
      <c r="C13" s="10" t="s">
        <v>35</v>
      </c>
      <c r="D13" s="10" t="s">
        <v>51</v>
      </c>
      <c r="E13" s="7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1"/>
      <c r="G13" s="10"/>
      <c r="H13" s="34"/>
    </row>
    <row r="14" spans="1:13">
      <c r="B14" s="42">
        <v>7</v>
      </c>
      <c r="C14" s="10" t="s">
        <v>75</v>
      </c>
      <c r="D14" s="10" t="s">
        <v>77</v>
      </c>
      <c r="E14" s="7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1"/>
      <c r="G14" s="10"/>
      <c r="H14" s="34"/>
    </row>
    <row r="15" spans="1:13">
      <c r="B15" s="42">
        <v>8</v>
      </c>
      <c r="C15" s="10" t="s">
        <v>23</v>
      </c>
      <c r="D15" s="78">
        <v>44447777</v>
      </c>
      <c r="E15" s="7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1"/>
      <c r="G15" s="10"/>
      <c r="H15" s="34"/>
    </row>
    <row r="16" spans="1:13">
      <c r="B16" s="42">
        <v>9</v>
      </c>
      <c r="C16" s="10" t="s">
        <v>80</v>
      </c>
      <c r="D16" s="78">
        <v>456</v>
      </c>
      <c r="E16" s="7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1"/>
      <c r="G16" s="10"/>
      <c r="H16" s="34"/>
    </row>
    <row r="17" spans="2:9" ht="19.5" thickBot="1">
      <c r="B17" s="43">
        <v>10</v>
      </c>
      <c r="C17" s="35" t="s">
        <v>23</v>
      </c>
      <c r="D17" s="79">
        <v>456</v>
      </c>
      <c r="E17" s="74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2"/>
      <c r="G17" s="35"/>
      <c r="H17" s="36"/>
    </row>
    <row r="18" spans="2:9">
      <c r="D18" s="16" t="s">
        <v>85</v>
      </c>
      <c r="E18" s="40">
        <f>SUM(E8:E17)</f>
        <v>4.1666666666666664E-2</v>
      </c>
      <c r="G18" s="16" t="s">
        <v>61</v>
      </c>
      <c r="H18" s="69">
        <f>HOUR(E18)*60 + MINUTE(E18)</f>
        <v>60</v>
      </c>
    </row>
    <row r="19" spans="2:9">
      <c r="D19" s="46" t="s">
        <v>86</v>
      </c>
      <c r="E19" s="1"/>
    </row>
    <row r="21" spans="2:9" ht="19.5" thickBot="1"/>
    <row r="22" spans="2:9">
      <c r="E22" s="56" t="s">
        <v>70</v>
      </c>
    </row>
    <row r="23" spans="2:9" ht="19.5" thickBot="1">
      <c r="E23" s="55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conditionalFormatting sqref="M10">
    <cfRule type="expression" dxfId="0" priority="1">
      <formula>WEEKDAY($B10:$B$42,2) &gt;= 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workbookViewId="0">
      <selection activeCell="F16" sqref="F16"/>
    </sheetView>
  </sheetViews>
  <sheetFormatPr defaultRowHeight="18.75"/>
  <cols>
    <col min="1" max="1" width="4.875" customWidth="1"/>
    <col min="2" max="2" width="9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2" t="s">
        <v>91</v>
      </c>
      <c r="B1" s="81"/>
      <c r="C1" s="77"/>
      <c r="D1" s="83" t="s">
        <v>93</v>
      </c>
      <c r="E1" s="84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7" t="s">
        <v>55</v>
      </c>
      <c r="F2" s="47" t="s">
        <v>56</v>
      </c>
      <c r="G2" s="47" t="s">
        <v>57</v>
      </c>
      <c r="H2" s="85" t="s">
        <v>94</v>
      </c>
      <c r="J2" s="47" t="s">
        <v>90</v>
      </c>
    </row>
    <row r="3" spans="1:16">
      <c r="B3" s="1" t="s">
        <v>23</v>
      </c>
      <c r="C3" s="1"/>
      <c r="D3" s="66">
        <f>SUMIF($E$10:$N$10, B3, $E$43:$N$43)</f>
        <v>4.1666666666666664E-2</v>
      </c>
      <c r="E3" s="75">
        <f>HOUR(D3)*60 + MINUTE(D3)</f>
        <v>60</v>
      </c>
      <c r="F3" s="76">
        <v>7406</v>
      </c>
      <c r="G3" s="76">
        <f>F3-E3</f>
        <v>7346</v>
      </c>
      <c r="H3" s="66">
        <f>G3/1440</f>
        <v>5.1013888888888888</v>
      </c>
      <c r="I3" s="13"/>
      <c r="J3" s="93"/>
      <c r="K3" s="94"/>
      <c r="L3" s="94"/>
      <c r="M3" s="94"/>
      <c r="N3" s="94"/>
      <c r="O3" s="95"/>
    </row>
    <row r="4" spans="1:16">
      <c r="B4" s="1" t="s">
        <v>40</v>
      </c>
      <c r="C4" s="1"/>
      <c r="D4" s="66">
        <f>SUMIF($E$10:$N$10, B4, $E$43:$N$43)</f>
        <v>0</v>
      </c>
      <c r="E4" s="75">
        <f>DAY(D4)*1440+HOUR(D4)*60 + MINUTE(D4)</f>
        <v>0</v>
      </c>
      <c r="F4" s="76" t="s">
        <v>48</v>
      </c>
      <c r="G4" s="76" t="s">
        <v>48</v>
      </c>
      <c r="H4" s="66">
        <f>G3/1440</f>
        <v>5.1013888888888888</v>
      </c>
      <c r="J4" s="96"/>
      <c r="K4" s="97"/>
      <c r="L4" s="97"/>
      <c r="M4" s="97"/>
      <c r="N4" s="97"/>
      <c r="O4" s="98"/>
    </row>
    <row r="5" spans="1:16">
      <c r="B5" s="1"/>
      <c r="C5" s="1"/>
      <c r="D5" s="66">
        <v>0</v>
      </c>
      <c r="E5" s="75">
        <f>HOUR(D5)*60 + MINUTE(D5)</f>
        <v>0</v>
      </c>
      <c r="F5" s="76"/>
      <c r="G5" s="76"/>
      <c r="H5" s="1"/>
      <c r="J5" s="96"/>
      <c r="K5" s="97"/>
      <c r="L5" s="97"/>
      <c r="M5" s="97"/>
      <c r="N5" s="97"/>
      <c r="O5" s="98"/>
    </row>
    <row r="6" spans="1:16">
      <c r="B6" s="1"/>
      <c r="C6" s="1"/>
      <c r="D6" s="66"/>
      <c r="E6" s="75">
        <f>HOUR(D6)*60 + MINUTE(D6)</f>
        <v>0</v>
      </c>
      <c r="F6" s="76"/>
      <c r="G6" s="76"/>
      <c r="H6" s="1"/>
      <c r="J6" s="99"/>
      <c r="K6" s="100"/>
      <c r="L6" s="100"/>
      <c r="M6" s="100"/>
      <c r="N6" s="100"/>
      <c r="O6" s="101"/>
    </row>
    <row r="7" spans="1:16">
      <c r="B7" s="1"/>
      <c r="C7" s="1"/>
      <c r="D7" s="66"/>
      <c r="E7" s="75">
        <f>HOUR(D7)*60 + MINUTE(D7)</f>
        <v>0</v>
      </c>
      <c r="F7" s="76"/>
      <c r="G7" s="76"/>
      <c r="H7" s="1"/>
    </row>
    <row r="8" spans="1:16" ht="19.5">
      <c r="D8" s="67">
        <f>SUM(D3:D7)</f>
        <v>4.1666666666666664E-2</v>
      </c>
      <c r="E8" s="68"/>
      <c r="F8" s="48"/>
      <c r="G8" s="48"/>
      <c r="H8" s="48"/>
      <c r="I8" s="48"/>
      <c r="J8" s="48"/>
      <c r="K8" s="48"/>
      <c r="L8" s="48"/>
      <c r="M8" s="48"/>
      <c r="N8" s="48"/>
    </row>
    <row r="9" spans="1:16" ht="20.25" thickBot="1">
      <c r="C9" s="49"/>
      <c r="D9" s="50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4"/>
      <c r="B10" s="25" t="s">
        <v>47</v>
      </c>
      <c r="C10" s="30"/>
      <c r="D10" s="37" t="s">
        <v>24</v>
      </c>
      <c r="E10" s="53" t="s">
        <v>23</v>
      </c>
      <c r="F10" s="52" t="s">
        <v>23</v>
      </c>
      <c r="G10" s="52" t="s">
        <v>23</v>
      </c>
      <c r="H10" s="52" t="s">
        <v>35</v>
      </c>
      <c r="I10" s="52" t="s">
        <v>40</v>
      </c>
      <c r="J10" s="52" t="s">
        <v>35</v>
      </c>
      <c r="K10" s="52" t="s">
        <v>35</v>
      </c>
      <c r="L10" s="52"/>
      <c r="M10" s="58" t="s">
        <v>79</v>
      </c>
      <c r="N10" s="60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7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7" t="s">
        <v>73</v>
      </c>
      <c r="M11" s="57" t="s">
        <v>78</v>
      </c>
      <c r="N11" s="59" t="s">
        <v>76</v>
      </c>
    </row>
    <row r="12" spans="1:16">
      <c r="B12" s="117">
        <v>45901</v>
      </c>
      <c r="C12" s="102"/>
      <c r="D12" s="103"/>
      <c r="E12" s="104"/>
      <c r="F12" s="105"/>
      <c r="G12" s="105"/>
      <c r="H12" s="105"/>
      <c r="I12" s="105"/>
      <c r="J12" s="105"/>
      <c r="K12" s="105"/>
      <c r="L12" s="105"/>
      <c r="M12" s="105"/>
      <c r="N12" s="102"/>
      <c r="O12" s="77"/>
      <c r="P12" s="80">
        <f>IF(N(C12)&lt;&gt;0, C12 - TIME(7, 45, 0), C12)</f>
        <v>0</v>
      </c>
    </row>
    <row r="13" spans="1:16">
      <c r="B13" s="118">
        <v>45902</v>
      </c>
      <c r="C13" s="106"/>
      <c r="D13" s="107"/>
      <c r="E13" s="108"/>
      <c r="F13" s="110">
        <v>2.0833333333333332E-2</v>
      </c>
      <c r="G13" s="109"/>
      <c r="H13" s="109"/>
      <c r="I13" s="109"/>
      <c r="J13" s="109"/>
      <c r="K13" s="109"/>
      <c r="L13" s="109"/>
      <c r="M13" s="110">
        <v>2.0833333333333332E-2</v>
      </c>
      <c r="N13" s="106"/>
      <c r="O13" s="77"/>
      <c r="P13" s="80"/>
    </row>
    <row r="14" spans="1:16">
      <c r="B14" s="118">
        <v>45903</v>
      </c>
      <c r="C14" s="106"/>
      <c r="D14" s="107"/>
      <c r="E14" s="108"/>
      <c r="F14" s="109"/>
      <c r="G14" s="109"/>
      <c r="H14" s="109"/>
      <c r="I14" s="109"/>
      <c r="J14" s="109"/>
      <c r="K14" s="109"/>
      <c r="L14" s="109"/>
      <c r="M14" s="109"/>
      <c r="N14" s="106"/>
      <c r="O14" s="77"/>
      <c r="P14" s="80"/>
    </row>
    <row r="15" spans="1:16">
      <c r="B15" s="118">
        <v>45904</v>
      </c>
      <c r="C15" s="106"/>
      <c r="D15" s="107"/>
      <c r="E15" s="108"/>
      <c r="F15" s="109"/>
      <c r="G15" s="109"/>
      <c r="H15" s="109"/>
      <c r="I15" s="109"/>
      <c r="J15" s="109"/>
      <c r="K15" s="109"/>
      <c r="L15" s="109"/>
      <c r="M15" s="109"/>
      <c r="N15" s="106"/>
      <c r="O15" s="77"/>
      <c r="P15" s="80"/>
    </row>
    <row r="16" spans="1:16">
      <c r="B16" s="118">
        <v>45905</v>
      </c>
      <c r="C16" s="106"/>
      <c r="D16" s="107"/>
      <c r="E16" s="108"/>
      <c r="F16" s="109"/>
      <c r="G16" s="109"/>
      <c r="H16" s="109"/>
      <c r="I16" s="109"/>
      <c r="J16" s="109"/>
      <c r="K16" s="109"/>
      <c r="L16" s="109"/>
      <c r="M16" s="109"/>
      <c r="N16" s="106"/>
      <c r="O16" s="77"/>
      <c r="P16" s="80"/>
    </row>
    <row r="17" spans="2:16">
      <c r="B17" s="118">
        <v>45906</v>
      </c>
      <c r="C17" s="106"/>
      <c r="D17" s="107"/>
      <c r="E17" s="108"/>
      <c r="F17" s="109"/>
      <c r="G17" s="109"/>
      <c r="H17" s="109"/>
      <c r="I17" s="109"/>
      <c r="J17" s="109"/>
      <c r="K17" s="109"/>
      <c r="L17" s="109"/>
      <c r="M17" s="109"/>
      <c r="N17" s="106"/>
      <c r="O17" s="77"/>
      <c r="P17" s="80"/>
    </row>
    <row r="18" spans="2:16">
      <c r="B18" s="118">
        <v>45907</v>
      </c>
      <c r="C18" s="106"/>
      <c r="D18" s="107"/>
      <c r="E18" s="108"/>
      <c r="F18" s="109"/>
      <c r="G18" s="109"/>
      <c r="H18" s="109"/>
      <c r="I18" s="109"/>
      <c r="J18" s="109"/>
      <c r="K18" s="109"/>
      <c r="L18" s="109"/>
      <c r="M18" s="109"/>
      <c r="N18" s="106"/>
      <c r="O18" s="77"/>
      <c r="P18" s="80"/>
    </row>
    <row r="19" spans="2:16">
      <c r="B19" s="118">
        <v>45908</v>
      </c>
      <c r="C19" s="106"/>
      <c r="D19" s="107"/>
      <c r="E19" s="108"/>
      <c r="F19" s="109"/>
      <c r="G19" s="109"/>
      <c r="H19" s="109"/>
      <c r="I19" s="109"/>
      <c r="J19" s="109"/>
      <c r="K19" s="109"/>
      <c r="L19" s="109"/>
      <c r="M19" s="109"/>
      <c r="N19" s="106"/>
      <c r="O19" s="77"/>
      <c r="P19" s="80"/>
    </row>
    <row r="20" spans="2:16">
      <c r="B20" s="118">
        <v>45909</v>
      </c>
      <c r="C20" s="106"/>
      <c r="D20" s="107"/>
      <c r="E20" s="108"/>
      <c r="F20" s="109"/>
      <c r="G20" s="109"/>
      <c r="H20" s="109"/>
      <c r="I20" s="109"/>
      <c r="J20" s="109"/>
      <c r="K20" s="109"/>
      <c r="L20" s="109"/>
      <c r="M20" s="109"/>
      <c r="N20" s="106"/>
      <c r="O20" s="77"/>
      <c r="P20" s="80"/>
    </row>
    <row r="21" spans="2:16">
      <c r="B21" s="118">
        <v>45910</v>
      </c>
      <c r="C21" s="106"/>
      <c r="D21" s="107"/>
      <c r="E21" s="108"/>
      <c r="F21" s="109"/>
      <c r="G21" s="109"/>
      <c r="H21" s="109"/>
      <c r="I21" s="109"/>
      <c r="J21" s="109"/>
      <c r="K21" s="109"/>
      <c r="L21" s="109"/>
      <c r="M21" s="109"/>
      <c r="N21" s="106"/>
      <c r="O21" s="77"/>
      <c r="P21" s="80"/>
    </row>
    <row r="22" spans="2:16">
      <c r="B22" s="118">
        <v>45911</v>
      </c>
      <c r="C22" s="106"/>
      <c r="D22" s="107"/>
      <c r="E22" s="108"/>
      <c r="F22" s="109"/>
      <c r="G22" s="109"/>
      <c r="H22" s="109"/>
      <c r="I22" s="109"/>
      <c r="J22" s="109"/>
      <c r="K22" s="109"/>
      <c r="L22" s="109"/>
      <c r="M22" s="109"/>
      <c r="N22" s="106"/>
      <c r="O22" s="77"/>
      <c r="P22" s="80"/>
    </row>
    <row r="23" spans="2:16">
      <c r="B23" s="118">
        <v>45912</v>
      </c>
      <c r="C23" s="106"/>
      <c r="D23" s="107"/>
      <c r="E23" s="108"/>
      <c r="F23" s="109"/>
      <c r="G23" s="109"/>
      <c r="H23" s="109"/>
      <c r="I23" s="109"/>
      <c r="J23" s="109"/>
      <c r="K23" s="109"/>
      <c r="L23" s="109"/>
      <c r="M23" s="109"/>
      <c r="N23" s="106"/>
      <c r="O23" s="77"/>
      <c r="P23" s="80"/>
    </row>
    <row r="24" spans="2:16">
      <c r="B24" s="118">
        <v>45913</v>
      </c>
      <c r="C24" s="106"/>
      <c r="D24" s="107"/>
      <c r="E24" s="108"/>
      <c r="F24" s="109"/>
      <c r="G24" s="109"/>
      <c r="H24" s="109"/>
      <c r="I24" s="109"/>
      <c r="J24" s="109"/>
      <c r="K24" s="109"/>
      <c r="L24" s="109"/>
      <c r="M24" s="109"/>
      <c r="N24" s="106"/>
      <c r="O24" s="77"/>
      <c r="P24" s="80"/>
    </row>
    <row r="25" spans="2:16">
      <c r="B25" s="118">
        <v>45914</v>
      </c>
      <c r="C25" s="106"/>
      <c r="D25" s="107"/>
      <c r="E25" s="108"/>
      <c r="F25" s="109"/>
      <c r="G25" s="109"/>
      <c r="H25" s="109"/>
      <c r="I25" s="109"/>
      <c r="J25" s="109"/>
      <c r="K25" s="109"/>
      <c r="L25" s="109"/>
      <c r="M25" s="109"/>
      <c r="N25" s="106"/>
      <c r="O25" s="77"/>
      <c r="P25" s="80"/>
    </row>
    <row r="26" spans="2:16">
      <c r="B26" s="118">
        <v>45915</v>
      </c>
      <c r="C26" s="106"/>
      <c r="D26" s="107"/>
      <c r="E26" s="108"/>
      <c r="F26" s="109"/>
      <c r="G26" s="109"/>
      <c r="H26" s="109"/>
      <c r="I26" s="109"/>
      <c r="J26" s="109"/>
      <c r="K26" s="109"/>
      <c r="L26" s="109"/>
      <c r="M26" s="109"/>
      <c r="N26" s="106"/>
      <c r="O26" s="77"/>
      <c r="P26" s="80"/>
    </row>
    <row r="27" spans="2:16">
      <c r="B27" s="118">
        <v>45916</v>
      </c>
      <c r="C27" s="106"/>
      <c r="D27" s="107"/>
      <c r="E27" s="108"/>
      <c r="F27" s="109"/>
      <c r="G27" s="109"/>
      <c r="H27" s="109"/>
      <c r="I27" s="109"/>
      <c r="J27" s="109"/>
      <c r="K27" s="109"/>
      <c r="L27" s="109"/>
      <c r="M27" s="109"/>
      <c r="N27" s="106"/>
      <c r="O27" s="77"/>
      <c r="P27" s="80"/>
    </row>
    <row r="28" spans="2:16">
      <c r="B28" s="118">
        <v>45917</v>
      </c>
      <c r="C28" s="106"/>
      <c r="D28" s="107"/>
      <c r="E28" s="108"/>
      <c r="F28" s="109"/>
      <c r="G28" s="109"/>
      <c r="H28" s="109"/>
      <c r="I28" s="109"/>
      <c r="J28" s="109"/>
      <c r="K28" s="109"/>
      <c r="L28" s="109"/>
      <c r="M28" s="109"/>
      <c r="N28" s="106"/>
      <c r="O28" s="77"/>
      <c r="P28" s="80"/>
    </row>
    <row r="29" spans="2:16">
      <c r="B29" s="118">
        <v>45918</v>
      </c>
      <c r="C29" s="106"/>
      <c r="D29" s="107"/>
      <c r="E29" s="108"/>
      <c r="F29" s="109"/>
      <c r="G29" s="109"/>
      <c r="H29" s="109"/>
      <c r="I29" s="109"/>
      <c r="J29" s="109"/>
      <c r="K29" s="109"/>
      <c r="L29" s="109"/>
      <c r="M29" s="109"/>
      <c r="N29" s="106"/>
      <c r="O29" s="77"/>
      <c r="P29" s="80"/>
    </row>
    <row r="30" spans="2:16">
      <c r="B30" s="118">
        <v>45919</v>
      </c>
      <c r="C30" s="106"/>
      <c r="D30" s="107"/>
      <c r="E30" s="108"/>
      <c r="F30" s="109"/>
      <c r="G30" s="109"/>
      <c r="H30" s="109"/>
      <c r="I30" s="109"/>
      <c r="J30" s="109"/>
      <c r="K30" s="109"/>
      <c r="L30" s="109"/>
      <c r="M30" s="109"/>
      <c r="N30" s="106"/>
      <c r="O30" s="77"/>
      <c r="P30" s="80"/>
    </row>
    <row r="31" spans="2:16">
      <c r="B31" s="118">
        <v>45920</v>
      </c>
      <c r="C31" s="106"/>
      <c r="D31" s="107"/>
      <c r="E31" s="108"/>
      <c r="F31" s="109"/>
      <c r="G31" s="109"/>
      <c r="H31" s="109"/>
      <c r="I31" s="109"/>
      <c r="J31" s="109"/>
      <c r="K31" s="109"/>
      <c r="L31" s="109"/>
      <c r="M31" s="109"/>
      <c r="N31" s="106"/>
      <c r="O31" s="77"/>
      <c r="P31" s="80"/>
    </row>
    <row r="32" spans="2:16">
      <c r="B32" s="118">
        <v>45921</v>
      </c>
      <c r="C32" s="106"/>
      <c r="D32" s="107"/>
      <c r="E32" s="108"/>
      <c r="F32" s="109"/>
      <c r="G32" s="109"/>
      <c r="H32" s="109"/>
      <c r="I32" s="109"/>
      <c r="J32" s="109"/>
      <c r="K32" s="109"/>
      <c r="L32" s="109"/>
      <c r="M32" s="110"/>
      <c r="N32" s="106"/>
      <c r="O32" s="77"/>
      <c r="P32" s="80"/>
    </row>
    <row r="33" spans="1:17">
      <c r="A33" s="64"/>
      <c r="B33" s="118">
        <v>45922</v>
      </c>
      <c r="C33" s="106"/>
      <c r="D33" s="107"/>
      <c r="E33" s="108"/>
      <c r="F33" s="110"/>
      <c r="G33" s="109"/>
      <c r="H33" s="109"/>
      <c r="I33" s="109"/>
      <c r="J33" s="109"/>
      <c r="K33" s="109"/>
      <c r="L33" s="109"/>
      <c r="M33" s="110"/>
      <c r="N33" s="106"/>
      <c r="O33" s="77"/>
      <c r="P33" s="80"/>
    </row>
    <row r="34" spans="1:17">
      <c r="A34" s="65"/>
      <c r="B34" s="118">
        <v>45923</v>
      </c>
      <c r="C34" s="106"/>
      <c r="D34" s="107"/>
      <c r="E34" s="108"/>
      <c r="F34" s="109"/>
      <c r="G34" s="109"/>
      <c r="H34" s="109"/>
      <c r="I34" s="110"/>
      <c r="J34" s="109"/>
      <c r="K34" s="109"/>
      <c r="L34" s="109"/>
      <c r="M34" s="110"/>
      <c r="N34" s="106"/>
      <c r="O34" s="77"/>
      <c r="P34" s="80"/>
    </row>
    <row r="35" spans="1:17">
      <c r="B35" s="118">
        <v>45924</v>
      </c>
      <c r="C35" s="106"/>
      <c r="D35" s="107"/>
      <c r="E35" s="111"/>
      <c r="F35" s="111"/>
      <c r="G35" s="111"/>
      <c r="H35" s="111"/>
      <c r="I35" s="111"/>
      <c r="J35" s="111"/>
      <c r="K35" s="109"/>
      <c r="L35" s="111"/>
      <c r="M35" s="109"/>
      <c r="N35" s="106"/>
      <c r="O35" s="77"/>
      <c r="P35" s="80"/>
    </row>
    <row r="36" spans="1:17">
      <c r="B36" s="118">
        <v>45925</v>
      </c>
      <c r="C36" s="106"/>
      <c r="D36" s="107"/>
      <c r="E36" s="112"/>
      <c r="F36" s="109"/>
      <c r="G36" s="109"/>
      <c r="H36" s="109"/>
      <c r="I36" s="109"/>
      <c r="J36" s="109"/>
      <c r="K36" s="109"/>
      <c r="L36" s="109"/>
      <c r="M36" s="109"/>
      <c r="N36" s="106"/>
      <c r="O36" s="77"/>
      <c r="P36" s="80"/>
    </row>
    <row r="37" spans="1:17">
      <c r="B37" s="118">
        <v>45926</v>
      </c>
      <c r="C37" s="106"/>
      <c r="D37" s="107"/>
      <c r="E37" s="108"/>
      <c r="F37" s="109"/>
      <c r="G37" s="109"/>
      <c r="H37" s="109"/>
      <c r="I37" s="109"/>
      <c r="J37" s="109"/>
      <c r="K37" s="109"/>
      <c r="L37" s="109"/>
      <c r="M37" s="109"/>
      <c r="N37" s="106"/>
      <c r="O37" s="77"/>
      <c r="P37" s="80"/>
    </row>
    <row r="38" spans="1:17">
      <c r="B38" s="118">
        <v>45927</v>
      </c>
      <c r="C38" s="106"/>
      <c r="D38" s="107"/>
      <c r="E38" s="108"/>
      <c r="F38" s="109"/>
      <c r="G38" s="109"/>
      <c r="H38" s="109"/>
      <c r="I38" s="109"/>
      <c r="J38" s="109"/>
      <c r="K38" s="109"/>
      <c r="L38" s="109"/>
      <c r="M38" s="109"/>
      <c r="N38" s="106"/>
      <c r="O38" s="77"/>
      <c r="P38" s="80"/>
    </row>
    <row r="39" spans="1:17">
      <c r="A39" s="39"/>
      <c r="B39" s="118">
        <v>45928</v>
      </c>
      <c r="C39" s="106"/>
      <c r="D39" s="107"/>
      <c r="E39" s="108"/>
      <c r="F39" s="109"/>
      <c r="G39" s="109"/>
      <c r="H39" s="109"/>
      <c r="I39" s="110"/>
      <c r="J39" s="109"/>
      <c r="K39" s="109"/>
      <c r="L39" s="109"/>
      <c r="M39" s="110"/>
      <c r="N39" s="106"/>
      <c r="O39" s="77"/>
      <c r="P39" s="80"/>
    </row>
    <row r="40" spans="1:17">
      <c r="B40" s="118">
        <v>45929</v>
      </c>
      <c r="C40" s="106"/>
      <c r="D40" s="107"/>
      <c r="E40" s="108"/>
      <c r="F40" s="110"/>
      <c r="G40" s="109"/>
      <c r="H40" s="109"/>
      <c r="I40" s="110"/>
      <c r="J40" s="109"/>
      <c r="K40" s="109"/>
      <c r="L40" s="109"/>
      <c r="M40" s="110"/>
      <c r="N40" s="106"/>
      <c r="O40" s="77"/>
      <c r="P40" s="80"/>
    </row>
    <row r="41" spans="1:17">
      <c r="B41" s="118">
        <v>45930</v>
      </c>
      <c r="C41" s="106"/>
      <c r="D41" s="107"/>
      <c r="E41" s="108"/>
      <c r="F41" s="109"/>
      <c r="G41" s="109"/>
      <c r="H41" s="109"/>
      <c r="I41" s="109"/>
      <c r="J41" s="109"/>
      <c r="K41" s="109"/>
      <c r="L41" s="109"/>
      <c r="M41" s="109"/>
      <c r="N41" s="106"/>
      <c r="O41" s="77"/>
      <c r="P41" s="80"/>
    </row>
    <row r="42" spans="1:17" ht="19.5" thickBot="1">
      <c r="B42" s="119">
        <v>45869</v>
      </c>
      <c r="C42" s="106"/>
      <c r="D42" s="113"/>
      <c r="E42" s="114"/>
      <c r="F42" s="115"/>
      <c r="G42" s="115"/>
      <c r="H42" s="115"/>
      <c r="I42" s="115"/>
      <c r="J42" s="115"/>
      <c r="K42" s="115"/>
      <c r="L42" s="115"/>
      <c r="M42" s="115"/>
      <c r="N42" s="116"/>
      <c r="O42" s="77"/>
      <c r="P42" s="80"/>
    </row>
    <row r="43" spans="1:17" ht="19.5" thickBot="1">
      <c r="B43" s="89" t="s">
        <v>46</v>
      </c>
      <c r="C43" s="90">
        <f>SUM(C35:C42)</f>
        <v>0</v>
      </c>
      <c r="D43" s="86" t="s">
        <v>46</v>
      </c>
      <c r="E43" s="87">
        <f>SUM(E12:E42)</f>
        <v>0</v>
      </c>
      <c r="F43" s="88">
        <f>SUM(F12:F42)</f>
        <v>2.0833333333333332E-2</v>
      </c>
      <c r="G43" s="88">
        <f t="shared" ref="G43:N43" si="0">SUM(G12:G42)</f>
        <v>0</v>
      </c>
      <c r="H43" s="88">
        <f t="shared" si="0"/>
        <v>0</v>
      </c>
      <c r="I43" s="88">
        <f t="shared" si="0"/>
        <v>0</v>
      </c>
      <c r="J43" s="88">
        <f t="shared" si="0"/>
        <v>0</v>
      </c>
      <c r="K43" s="88">
        <f t="shared" si="0"/>
        <v>0</v>
      </c>
      <c r="L43" s="88">
        <f t="shared" si="0"/>
        <v>0</v>
      </c>
      <c r="M43" s="88">
        <f t="shared" si="0"/>
        <v>2.0833333333333332E-2</v>
      </c>
      <c r="N43" s="88">
        <f t="shared" si="0"/>
        <v>0</v>
      </c>
      <c r="O43" s="77"/>
      <c r="P43" s="61">
        <f>SUM(P12:P42)</f>
        <v>0</v>
      </c>
      <c r="Q43" s="62">
        <f>SUM(E43:N43)</f>
        <v>4.1666666666666664E-2</v>
      </c>
    </row>
  </sheetData>
  <mergeCells count="1">
    <mergeCell ref="J3:O6"/>
  </mergeCells>
  <phoneticPr fontId="1"/>
  <conditionalFormatting sqref="B12:N42">
    <cfRule type="expression" dxfId="2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D27" sqref="D27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1" t="s">
        <v>63</v>
      </c>
      <c r="B1" s="51" t="s">
        <v>64</v>
      </c>
      <c r="C1" s="51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2025-09-03T14:58:06Z</dcterms:modified>
</cp:coreProperties>
</file>